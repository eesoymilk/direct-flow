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Z:\@審計組\113年簽證\113年財稅簽-鍍威精密\@113財報-鍍威\"/>
    </mc:Choice>
  </mc:AlternateContent>
  <xr:revisionPtr revIDLastSave="0" documentId="13_ncr:1_{191EF1FF-F891-483E-B07D-1230B9AC7C77}" xr6:coauthVersionLast="47" xr6:coauthVersionMax="47" xr10:uidLastSave="{00000000-0000-0000-0000-000000000000}"/>
  <bookViews>
    <workbookView xWindow="-120" yWindow="-120" windowWidth="29040" windowHeight="15720" tabRatio="798" xr2:uid="{00000000-000D-0000-FFFF-FFFF00000000}"/>
  </bookViews>
  <sheets>
    <sheet name="資產負債表" sheetId="5" r:id="rId1"/>
    <sheet name="損益表" sheetId="1" r:id="rId2"/>
    <sheet name="股東變動表" sheetId="18" r:id="rId3"/>
    <sheet name="現金流量表" sheetId="20" r:id="rId4"/>
    <sheet name="調節表 " sheetId="19" r:id="rId5"/>
    <sheet name="附註" sheetId="25" r:id="rId6"/>
    <sheet name="附註用人費用" sheetId="26" r:id="rId7"/>
    <sheet name="附註不動產" sheetId="21" r:id="rId8"/>
    <sheet name="TB" sheetId="22" r:id="rId9"/>
    <sheet name="BS" sheetId="23" r:id="rId10"/>
    <sheet name="IS" sheetId="24" r:id="rId11"/>
    <sheet name="VI-2資產" sheetId="16" state="hidden" r:id="rId12"/>
    <sheet name="VI-2負債及權益" sheetId="17" state="hidden" r:id="rId13"/>
    <sheet name="104" sheetId="11" state="hidden" r:id="rId14"/>
    <sheet name="首次企業項目差異" sheetId="13" state="hidden" r:id="rId15"/>
  </sheets>
  <externalReferences>
    <externalReference r:id="rId16"/>
    <externalReference r:id="rId17"/>
  </externalReferences>
  <definedNames>
    <definedName name="_xlnm._FilterDatabase" localSheetId="12" hidden="1">'VI-2負債及權益'!$A$8:$J$141</definedName>
    <definedName name="_xlnm._FilterDatabase" localSheetId="11" hidden="1">'VI-2資產'!$A$8:$I$198</definedName>
    <definedName name="_xlnm._FilterDatabase" localSheetId="14" hidden="1">首次企業項目差異!$A$5:$K$5</definedName>
    <definedName name="_Hlk138872368" localSheetId="5">附註!$A$6</definedName>
    <definedName name="_xlnm.Print_Area" localSheetId="13">'104'!$A$1:$H$37</definedName>
    <definedName name="_xlnm.Print_Area" localSheetId="12">'VI-2負債及權益'!$A$1:$I$142</definedName>
    <definedName name="_xlnm.Print_Area" localSheetId="11">'VI-2資產'!$B$1:$I$199</definedName>
    <definedName name="_xlnm.Print_Area" localSheetId="2">股東變動表!$A$1:$Q$27</definedName>
    <definedName name="_xlnm.Print_Area" localSheetId="3">現金流量表!$A$1:$J$57</definedName>
    <definedName name="_xlnm.Print_Area" localSheetId="0">資產負債表!$A$1:$L$53</definedName>
    <definedName name="_xlnm.Print_Titles" localSheetId="12">'VI-2負債及權益'!$C:$I,'VI-2負債及權益'!$1:$8</definedName>
    <definedName name="_xlnm.Print_Titles" localSheetId="11">'VI-2資產'!$B:$I,'VI-2資產'!$1:$8</definedName>
    <definedName name="_xlnm.Print_Titles" localSheetId="14">首次企業項目差異!$A:$K,首次企業項目差異!$1:$5</definedName>
  </definedNames>
  <calcPr calcId="181029"/>
</workbook>
</file>

<file path=xl/calcChain.xml><?xml version="1.0" encoding="utf-8"?>
<calcChain xmlns="http://schemas.openxmlformats.org/spreadsheetml/2006/main">
  <c r="D31" i="25" l="1"/>
  <c r="D4" i="19"/>
  <c r="N119" i="25"/>
  <c r="Q120" i="25" l="1"/>
  <c r="N124" i="25"/>
  <c r="N126" i="25" s="1"/>
  <c r="N114" i="25"/>
  <c r="G4" i="25"/>
  <c r="Q126" i="25" l="1"/>
  <c r="N129" i="25" l="1"/>
  <c r="G78" i="25"/>
  <c r="G77" i="25"/>
  <c r="G79" i="25" s="1"/>
  <c r="D78" i="25"/>
  <c r="D77" i="25"/>
  <c r="D72" i="25"/>
  <c r="D64" i="25"/>
  <c r="D65" i="25" l="1"/>
  <c r="D59" i="25"/>
  <c r="D60" i="25" s="1"/>
  <c r="D54" i="25"/>
  <c r="D55" i="25" s="1"/>
  <c r="D49" i="25"/>
  <c r="D50" i="25" s="1"/>
  <c r="C48" i="25"/>
  <c r="F48" i="25"/>
  <c r="G50" i="25"/>
  <c r="D44" i="25"/>
  <c r="D38" i="25"/>
  <c r="D37" i="25"/>
  <c r="D28" i="25"/>
  <c r="D22" i="25"/>
  <c r="D17" i="25"/>
  <c r="D18" i="25" s="1"/>
  <c r="D12" i="25"/>
  <c r="D8" i="25"/>
  <c r="D9" i="25" s="1"/>
  <c r="D4" i="25"/>
  <c r="D3" i="25"/>
  <c r="Q134" i="25"/>
  <c r="Q135" i="25" s="1"/>
  <c r="M132" i="25"/>
  <c r="P132" i="25"/>
  <c r="Q114" i="25"/>
  <c r="M128" i="25"/>
  <c r="P128" i="25"/>
  <c r="M116" i="25"/>
  <c r="P116" i="25"/>
  <c r="M111" i="25"/>
  <c r="P111" i="25"/>
  <c r="C90" i="25"/>
  <c r="F90" i="25"/>
  <c r="D84" i="25"/>
  <c r="D85" i="25" s="1"/>
  <c r="G84" i="25"/>
  <c r="G85" i="25" s="1"/>
  <c r="C83" i="25"/>
  <c r="F83" i="25"/>
  <c r="C76" i="25"/>
  <c r="F76" i="25"/>
  <c r="C71" i="25"/>
  <c r="F71" i="25"/>
  <c r="G73" i="25"/>
  <c r="D73" i="25"/>
  <c r="C63" i="25"/>
  <c r="F63" i="25"/>
  <c r="G59" i="25"/>
  <c r="G60" i="25" s="1"/>
  <c r="C58" i="25"/>
  <c r="F58" i="25"/>
  <c r="G55" i="25"/>
  <c r="C53" i="25"/>
  <c r="F53" i="25"/>
  <c r="G29" i="25"/>
  <c r="G30" i="25"/>
  <c r="G28" i="25"/>
  <c r="G38" i="25"/>
  <c r="G37" i="25"/>
  <c r="G44" i="25"/>
  <c r="G45" i="25" s="1"/>
  <c r="C43" i="25"/>
  <c r="F43" i="25"/>
  <c r="F36" i="25"/>
  <c r="C36" i="25"/>
  <c r="C27" i="25"/>
  <c r="F27" i="25"/>
  <c r="F21" i="25"/>
  <c r="C21" i="25"/>
  <c r="G22" i="25"/>
  <c r="G23" i="25" s="1"/>
  <c r="G17" i="25"/>
  <c r="G18" i="25" s="1"/>
  <c r="F16" i="25"/>
  <c r="C16" i="25"/>
  <c r="G12" i="25"/>
  <c r="G13" i="25" s="1"/>
  <c r="G8" i="25"/>
  <c r="G9" i="25" s="1"/>
  <c r="G3" i="25"/>
  <c r="F11" i="25"/>
  <c r="F7" i="25"/>
  <c r="C11" i="25"/>
  <c r="C7" i="25"/>
  <c r="D8" i="26"/>
  <c r="C8" i="26"/>
  <c r="D10" i="26"/>
  <c r="E10" i="26" s="1"/>
  <c r="C10" i="26"/>
  <c r="D9" i="26"/>
  <c r="C9" i="26"/>
  <c r="D7" i="26"/>
  <c r="C7" i="26"/>
  <c r="D5" i="26"/>
  <c r="C5" i="26"/>
  <c r="H10" i="26"/>
  <c r="H6" i="26"/>
  <c r="H7" i="26"/>
  <c r="H8" i="26"/>
  <c r="H9" i="26"/>
  <c r="H5" i="26"/>
  <c r="C30" i="26"/>
  <c r="C29" i="26"/>
  <c r="C28" i="26"/>
  <c r="C27" i="26"/>
  <c r="C26" i="26"/>
  <c r="C24" i="26"/>
  <c r="C23" i="26"/>
  <c r="C22" i="26"/>
  <c r="C21" i="26"/>
  <c r="C20" i="26"/>
  <c r="G93" i="25"/>
  <c r="D92" i="25"/>
  <c r="D91" i="25"/>
  <c r="D99" i="25"/>
  <c r="D98" i="25"/>
  <c r="D97" i="25"/>
  <c r="D96" i="25"/>
  <c r="D79" i="25"/>
  <c r="G68" i="25"/>
  <c r="D68" i="25"/>
  <c r="G14" i="21"/>
  <c r="V11" i="21"/>
  <c r="G6" i="21"/>
  <c r="J6" i="21"/>
  <c r="V3" i="21"/>
  <c r="V4" i="21"/>
  <c r="U32" i="5"/>
  <c r="S32" i="5"/>
  <c r="D28" i="20" s="1"/>
  <c r="D40" i="20"/>
  <c r="D16" i="20"/>
  <c r="D15" i="20"/>
  <c r="I38" i="20"/>
  <c r="I16" i="20"/>
  <c r="I15" i="20"/>
  <c r="D39" i="25" l="1"/>
  <c r="D5" i="25"/>
  <c r="G39" i="25"/>
  <c r="G31" i="25"/>
  <c r="D45" i="25"/>
  <c r="D23" i="25"/>
  <c r="D93" i="25"/>
  <c r="G5" i="25"/>
  <c r="D13" i="25"/>
  <c r="D100" i="25"/>
  <c r="E8" i="26"/>
  <c r="E9" i="26"/>
  <c r="E7" i="26"/>
  <c r="E6" i="26"/>
  <c r="E5" i="26"/>
  <c r="D9" i="19"/>
  <c r="D3" i="19"/>
  <c r="I14" i="20"/>
  <c r="D27" i="1"/>
  <c r="D24" i="1"/>
  <c r="D21" i="1"/>
  <c r="D14" i="20" s="1"/>
  <c r="D16" i="1"/>
  <c r="D13" i="20" s="1"/>
  <c r="D13" i="1"/>
  <c r="F13" i="1" s="1"/>
  <c r="D11" i="1"/>
  <c r="D10" i="1"/>
  <c r="D12" i="1" s="1"/>
  <c r="D14" i="1" s="1"/>
  <c r="D25" i="1" l="1"/>
  <c r="D26" i="1" s="1"/>
  <c r="D10" i="20" s="1"/>
  <c r="D26" i="26"/>
  <c r="D20" i="26"/>
  <c r="K13" i="1"/>
  <c r="K11" i="1"/>
  <c r="D30" i="26" l="1"/>
  <c r="D27" i="26"/>
  <c r="I12" i="1"/>
  <c r="I14" i="1" s="1"/>
  <c r="K27" i="1"/>
  <c r="I25" i="1"/>
  <c r="K24" i="1"/>
  <c r="K23" i="1"/>
  <c r="K22" i="1"/>
  <c r="K21" i="1"/>
  <c r="K16" i="1"/>
  <c r="K10" i="1"/>
  <c r="K12" i="1" s="1"/>
  <c r="K14" i="1" s="1"/>
  <c r="D45" i="5"/>
  <c r="N134" i="25" s="1"/>
  <c r="N135" i="25" s="1"/>
  <c r="D42" i="5"/>
  <c r="D43" i="5"/>
  <c r="D34" i="5"/>
  <c r="D37" i="5"/>
  <c r="D33" i="5"/>
  <c r="D31" i="5"/>
  <c r="D30" i="5"/>
  <c r="D29" i="5"/>
  <c r="D22" i="5"/>
  <c r="K25" i="1" l="1"/>
  <c r="K26" i="1" s="1"/>
  <c r="K28" i="1" s="1"/>
  <c r="K30" i="1" s="1"/>
  <c r="I26" i="1"/>
  <c r="I28" i="1" s="1"/>
  <c r="I30" i="1" l="1"/>
  <c r="M13" i="18"/>
  <c r="D23" i="5"/>
  <c r="D21" i="5"/>
  <c r="D20" i="5"/>
  <c r="D19" i="5"/>
  <c r="D16" i="5"/>
  <c r="D15" i="5"/>
  <c r="D14" i="5"/>
  <c r="D13" i="5"/>
  <c r="D12" i="5"/>
  <c r="D11" i="5"/>
  <c r="D10" i="5"/>
  <c r="M14" i="18" l="1"/>
  <c r="P13" i="18"/>
  <c r="P14" i="18" s="1"/>
  <c r="D17" i="5"/>
  <c r="K54" i="20"/>
  <c r="I17" i="5"/>
  <c r="I46" i="5"/>
  <c r="I38" i="5"/>
  <c r="I35" i="5"/>
  <c r="I39" i="5" s="1"/>
  <c r="I47" i="5" s="1"/>
  <c r="I24" i="5"/>
  <c r="L54" i="20"/>
  <c r="I25" i="5" l="1"/>
  <c r="K31" i="5"/>
  <c r="K14" i="5"/>
  <c r="K33" i="5"/>
  <c r="K16" i="5"/>
  <c r="K23" i="5"/>
  <c r="K42" i="5"/>
  <c r="K15" i="5"/>
  <c r="K34" i="5"/>
  <c r="K37" i="5"/>
  <c r="K38" i="5" s="1"/>
  <c r="K11" i="5"/>
  <c r="K19" i="5"/>
  <c r="K29" i="5"/>
  <c r="K12" i="5"/>
  <c r="K20" i="5"/>
  <c r="K30" i="5"/>
  <c r="K13" i="5"/>
  <c r="K21" i="5"/>
  <c r="S14" i="21"/>
  <c r="S17" i="21" s="1"/>
  <c r="P14" i="21"/>
  <c r="P17" i="21" s="1"/>
  <c r="M6" i="21"/>
  <c r="M9" i="21" s="1"/>
  <c r="J9" i="21"/>
  <c r="G9" i="21"/>
  <c r="V21" i="21"/>
  <c r="J21" i="21"/>
  <c r="J14" i="21"/>
  <c r="J17" i="21" s="1"/>
  <c r="P21" i="21"/>
  <c r="P6" i="21"/>
  <c r="D22" i="21"/>
  <c r="S21" i="21"/>
  <c r="M21" i="21"/>
  <c r="G21" i="21"/>
  <c r="D21" i="21"/>
  <c r="D20" i="21"/>
  <c r="V15" i="21"/>
  <c r="M14" i="21"/>
  <c r="M17" i="21" s="1"/>
  <c r="V12" i="21"/>
  <c r="V7" i="21"/>
  <c r="S6" i="21"/>
  <c r="S9" i="21" s="1"/>
  <c r="K24" i="5" l="1"/>
  <c r="K10" i="5"/>
  <c r="K17" i="5" s="1"/>
  <c r="K25" i="5" s="1"/>
  <c r="K43" i="5"/>
  <c r="K45" i="5"/>
  <c r="K35" i="5"/>
  <c r="K39" i="5" s="1"/>
  <c r="P22" i="21"/>
  <c r="S20" i="21"/>
  <c r="M22" i="21"/>
  <c r="J22" i="21"/>
  <c r="G22" i="21"/>
  <c r="V14" i="21"/>
  <c r="V17" i="21" s="1"/>
  <c r="J20" i="21"/>
  <c r="P9" i="21"/>
  <c r="P20" i="21" s="1"/>
  <c r="V6" i="21"/>
  <c r="G17" i="21"/>
  <c r="G20" i="21" s="1"/>
  <c r="S22" i="21"/>
  <c r="M20" i="21"/>
  <c r="V22" i="21" l="1"/>
  <c r="V9" i="21"/>
  <c r="V20" i="21" s="1"/>
  <c r="S33" i="5" l="1"/>
  <c r="D29" i="20" s="1"/>
  <c r="U42" i="5"/>
  <c r="I49" i="20" s="1"/>
  <c r="S42" i="5"/>
  <c r="S37" i="5"/>
  <c r="D47" i="20" s="1"/>
  <c r="S30" i="5"/>
  <c r="D26" i="20" s="1"/>
  <c r="S31" i="5"/>
  <c r="S34" i="5"/>
  <c r="D46" i="20" s="1"/>
  <c r="S29" i="5"/>
  <c r="D25" i="20" s="1"/>
  <c r="S23" i="5"/>
  <c r="S21" i="5"/>
  <c r="S12" i="5"/>
  <c r="D20" i="20" s="1"/>
  <c r="S13" i="5"/>
  <c r="D21" i="20" s="1"/>
  <c r="S14" i="5"/>
  <c r="D22" i="20" s="1"/>
  <c r="S15" i="5"/>
  <c r="D23" i="20" s="1"/>
  <c r="S16" i="5"/>
  <c r="D24" i="20" s="1"/>
  <c r="S11" i="5"/>
  <c r="D19" i="20" s="1"/>
  <c r="D33" i="20"/>
  <c r="D51" i="20" l="1"/>
  <c r="D38" i="20"/>
  <c r="D54" i="20"/>
  <c r="D42" i="20"/>
  <c r="I33" i="20"/>
  <c r="I29" i="20"/>
  <c r="I13" i="20"/>
  <c r="C7" i="20"/>
  <c r="A4" i="20"/>
  <c r="A3" i="20"/>
  <c r="A1" i="20"/>
  <c r="E86" i="19" l="1"/>
  <c r="E77" i="19"/>
  <c r="E73" i="19"/>
  <c r="E68" i="19"/>
  <c r="E63" i="19"/>
  <c r="E56" i="19"/>
  <c r="E79" i="19" l="1"/>
  <c r="D82" i="19"/>
  <c r="D86" i="19" l="1"/>
  <c r="E11" i="19" l="1"/>
  <c r="I31" i="20" s="1"/>
  <c r="D5" i="19"/>
  <c r="D27" i="20" s="1"/>
  <c r="D77" i="19"/>
  <c r="D73" i="19"/>
  <c r="D65" i="19"/>
  <c r="D68" i="19" s="1"/>
  <c r="D59" i="19"/>
  <c r="D63" i="19" s="1"/>
  <c r="D49" i="19"/>
  <c r="D56" i="19" s="1"/>
  <c r="D41" i="19"/>
  <c r="D47" i="19" s="1"/>
  <c r="J21" i="19"/>
  <c r="I21" i="19"/>
  <c r="D15" i="19"/>
  <c r="D14" i="19"/>
  <c r="E13" i="19"/>
  <c r="D13" i="19"/>
  <c r="D64" i="19" s="1"/>
  <c r="D8" i="19"/>
  <c r="E7" i="19" l="1"/>
  <c r="E22" i="19" s="1"/>
  <c r="E31" i="19" s="1"/>
  <c r="E40" i="19" s="1"/>
  <c r="E48" i="19" s="1"/>
  <c r="E70" i="19" s="1"/>
  <c r="D11" i="19"/>
  <c r="D31" i="20" s="1"/>
  <c r="D20" i="19"/>
  <c r="D79" i="19"/>
  <c r="D41" i="20" s="1"/>
  <c r="D43" i="20" s="1"/>
  <c r="E64" i="19"/>
  <c r="E5" i="19"/>
  <c r="I27" i="20" s="1"/>
  <c r="E58" i="19"/>
  <c r="D7" i="19"/>
  <c r="D22" i="19" s="1"/>
  <c r="D31" i="19" s="1"/>
  <c r="D40" i="19" s="1"/>
  <c r="D48" i="19" s="1"/>
  <c r="D70" i="19" s="1"/>
  <c r="D58" i="19"/>
  <c r="U23" i="5" l="1"/>
  <c r="U21" i="5"/>
  <c r="I42" i="20" s="1"/>
  <c r="I43" i="20" s="1"/>
  <c r="U33" i="5"/>
  <c r="U30" i="5"/>
  <c r="I26" i="20" s="1"/>
  <c r="U37" i="5"/>
  <c r="I47" i="20" s="1"/>
  <c r="U34" i="5"/>
  <c r="I46" i="20" s="1"/>
  <c r="U31" i="5"/>
  <c r="U29" i="5"/>
  <c r="I25" i="20" s="1"/>
  <c r="U15" i="5"/>
  <c r="I23" i="20" s="1"/>
  <c r="U13" i="5"/>
  <c r="I21" i="20" s="1"/>
  <c r="U10" i="5"/>
  <c r="U16" i="5"/>
  <c r="I24" i="20" s="1"/>
  <c r="I51" i="20" l="1"/>
  <c r="F27" i="1"/>
  <c r="F24" i="1"/>
  <c r="A4" i="18"/>
  <c r="A3" i="18"/>
  <c r="P19" i="18"/>
  <c r="P18" i="18"/>
  <c r="P16" i="18"/>
  <c r="J21" i="18"/>
  <c r="D15" i="18"/>
  <c r="G15" i="18" l="1"/>
  <c r="G21" i="18" s="1"/>
  <c r="D21" i="18"/>
  <c r="M15" i="18"/>
  <c r="P15" i="18" l="1"/>
  <c r="D46" i="5"/>
  <c r="D38" i="5"/>
  <c r="D35" i="5"/>
  <c r="D24" i="5"/>
  <c r="S10" i="5"/>
  <c r="D39" i="5" l="1"/>
  <c r="D47" i="5" s="1"/>
  <c r="D25" i="5" l="1"/>
  <c r="F32" i="5" s="1"/>
  <c r="K46" i="5" l="1"/>
  <c r="K47" i="5" s="1"/>
  <c r="F22" i="5"/>
  <c r="F43" i="5"/>
  <c r="F37" i="5"/>
  <c r="F38" i="5" s="1"/>
  <c r="F30" i="5"/>
  <c r="F10" i="5"/>
  <c r="F29" i="5"/>
  <c r="F45" i="5"/>
  <c r="F34" i="5"/>
  <c r="F23" i="5"/>
  <c r="U14" i="5" l="1"/>
  <c r="I22" i="20" s="1"/>
  <c r="U12" i="5"/>
  <c r="I20" i="20" s="1"/>
  <c r="U11" i="5"/>
  <c r="I19" i="20" s="1"/>
  <c r="I10" i="20" l="1"/>
  <c r="I30" i="20" s="1"/>
  <c r="I35" i="20" s="1"/>
  <c r="I53" i="20" s="1"/>
  <c r="I55" i="20" s="1"/>
  <c r="L55" i="20" s="1"/>
  <c r="F23" i="1"/>
  <c r="F22" i="1"/>
  <c r="F16" i="1"/>
  <c r="F11" i="1"/>
  <c r="F21" i="1"/>
  <c r="U19" i="5" l="1"/>
  <c r="S19" i="5"/>
  <c r="F20" i="5" l="1"/>
  <c r="F13" i="5" l="1"/>
  <c r="F11" i="5"/>
  <c r="F42" i="5"/>
  <c r="F46" i="5" s="1"/>
  <c r="F33" i="5"/>
  <c r="F31" i="5"/>
  <c r="F14" i="5"/>
  <c r="F15" i="5"/>
  <c r="F16" i="5"/>
  <c r="F21" i="5"/>
  <c r="F19" i="5"/>
  <c r="F12" i="5"/>
  <c r="F17" i="5" l="1"/>
  <c r="F24" i="5"/>
  <c r="F35" i="5"/>
  <c r="F39" i="5" s="1"/>
  <c r="F47" i="5" s="1"/>
  <c r="F25" i="5" l="1"/>
  <c r="G141" i="17"/>
  <c r="F141" i="17"/>
  <c r="E141" i="17"/>
  <c r="I140" i="17"/>
  <c r="H140" i="17"/>
  <c r="J140" i="17" s="1"/>
  <c r="I139" i="17"/>
  <c r="H139" i="17"/>
  <c r="I138" i="17"/>
  <c r="H138" i="17"/>
  <c r="I137" i="17"/>
  <c r="H137" i="17"/>
  <c r="G136" i="17"/>
  <c r="F136" i="17"/>
  <c r="E136" i="17"/>
  <c r="I135" i="17"/>
  <c r="H135" i="17"/>
  <c r="I134" i="17"/>
  <c r="H134" i="17"/>
  <c r="I133" i="17"/>
  <c r="H133" i="17"/>
  <c r="G132" i="17"/>
  <c r="F132" i="17"/>
  <c r="E132" i="17"/>
  <c r="I131" i="17"/>
  <c r="I132" i="17" s="1"/>
  <c r="H131" i="17"/>
  <c r="H132" i="17" s="1"/>
  <c r="G130" i="17"/>
  <c r="F130" i="17"/>
  <c r="E130" i="17"/>
  <c r="I129" i="17"/>
  <c r="I130" i="17" s="1"/>
  <c r="H129" i="17"/>
  <c r="H130" i="17" s="1"/>
  <c r="G128" i="17"/>
  <c r="F128" i="17"/>
  <c r="E128" i="17"/>
  <c r="I127" i="17"/>
  <c r="H127" i="17"/>
  <c r="I126" i="17"/>
  <c r="H126" i="17"/>
  <c r="I125" i="17"/>
  <c r="H125" i="17"/>
  <c r="I124" i="17"/>
  <c r="H124" i="17"/>
  <c r="I123" i="17"/>
  <c r="H123" i="17"/>
  <c r="I122" i="17"/>
  <c r="H122" i="17"/>
  <c r="J122" i="17" s="1"/>
  <c r="I121" i="17"/>
  <c r="H121" i="17"/>
  <c r="I120" i="17"/>
  <c r="H120" i="17"/>
  <c r="I119" i="17"/>
  <c r="H119" i="17"/>
  <c r="G118" i="17"/>
  <c r="F118" i="17"/>
  <c r="E118" i="17"/>
  <c r="I117" i="17"/>
  <c r="H117" i="17"/>
  <c r="I116" i="17"/>
  <c r="H116" i="17"/>
  <c r="I115" i="17"/>
  <c r="H115" i="17"/>
  <c r="I114" i="17"/>
  <c r="H114" i="17"/>
  <c r="J114" i="17" s="1"/>
  <c r="I113" i="17"/>
  <c r="H113" i="17"/>
  <c r="G112" i="17"/>
  <c r="F112" i="17"/>
  <c r="E112" i="17"/>
  <c r="I111" i="17"/>
  <c r="H111" i="17"/>
  <c r="I110" i="17"/>
  <c r="H110" i="17"/>
  <c r="I109" i="17"/>
  <c r="H109" i="17"/>
  <c r="I108" i="17"/>
  <c r="H108" i="17"/>
  <c r="G107" i="17"/>
  <c r="F107" i="17"/>
  <c r="E107" i="17"/>
  <c r="I106" i="17"/>
  <c r="H106" i="17"/>
  <c r="I105" i="17"/>
  <c r="H105" i="17"/>
  <c r="G104" i="17"/>
  <c r="F104" i="17"/>
  <c r="E104" i="17"/>
  <c r="I103" i="17"/>
  <c r="H103" i="17"/>
  <c r="I102" i="17"/>
  <c r="H102" i="17"/>
  <c r="I101" i="17"/>
  <c r="H101" i="17"/>
  <c r="G100" i="17"/>
  <c r="F100" i="17"/>
  <c r="E100" i="17"/>
  <c r="I99" i="17"/>
  <c r="H99" i="17"/>
  <c r="I98" i="17"/>
  <c r="H98" i="17"/>
  <c r="I97" i="17"/>
  <c r="H97" i="17"/>
  <c r="J97" i="17" s="1"/>
  <c r="I96" i="17"/>
  <c r="H96" i="17"/>
  <c r="J96" i="17" s="1"/>
  <c r="I95" i="17"/>
  <c r="H95" i="17"/>
  <c r="G94" i="17"/>
  <c r="F94" i="17"/>
  <c r="E94" i="17"/>
  <c r="I93" i="17"/>
  <c r="H93" i="17"/>
  <c r="I92" i="17"/>
  <c r="H92" i="17"/>
  <c r="I91" i="17"/>
  <c r="H91" i="17"/>
  <c r="I90" i="17"/>
  <c r="H90" i="17"/>
  <c r="I89" i="17"/>
  <c r="H89" i="17"/>
  <c r="G88" i="17"/>
  <c r="F88" i="17"/>
  <c r="E88" i="17"/>
  <c r="I87" i="17"/>
  <c r="H87" i="17"/>
  <c r="I86" i="17"/>
  <c r="H86" i="17"/>
  <c r="G85" i="17"/>
  <c r="F85" i="17"/>
  <c r="E85" i="17"/>
  <c r="I84" i="17"/>
  <c r="I85" i="17" s="1"/>
  <c r="H84" i="17"/>
  <c r="G83" i="17"/>
  <c r="F83" i="17"/>
  <c r="E83" i="17"/>
  <c r="I82" i="17"/>
  <c r="H82" i="17"/>
  <c r="I81" i="17"/>
  <c r="H81" i="17"/>
  <c r="G80" i="17"/>
  <c r="F80" i="17"/>
  <c r="E80" i="17"/>
  <c r="I79" i="17"/>
  <c r="H79" i="17"/>
  <c r="I78" i="17"/>
  <c r="I80" i="17" s="1"/>
  <c r="H78" i="17"/>
  <c r="I77" i="17"/>
  <c r="H77" i="17"/>
  <c r="G76" i="17"/>
  <c r="F76" i="17"/>
  <c r="E76" i="17"/>
  <c r="I75" i="17"/>
  <c r="H75" i="17"/>
  <c r="I74" i="17"/>
  <c r="H74" i="17"/>
  <c r="G73" i="17"/>
  <c r="F73" i="17"/>
  <c r="E73" i="17"/>
  <c r="I72" i="17"/>
  <c r="H72" i="17"/>
  <c r="I71" i="17"/>
  <c r="H71" i="17"/>
  <c r="I70" i="17"/>
  <c r="H70" i="17"/>
  <c r="I69" i="17"/>
  <c r="H69" i="17"/>
  <c r="I68" i="17"/>
  <c r="H68" i="17"/>
  <c r="G67" i="17"/>
  <c r="F67" i="17"/>
  <c r="E67" i="17"/>
  <c r="I66" i="17"/>
  <c r="H66" i="17"/>
  <c r="I65" i="17"/>
  <c r="H65" i="17"/>
  <c r="I64" i="17"/>
  <c r="H64" i="17"/>
  <c r="I63" i="17"/>
  <c r="H63" i="17"/>
  <c r="I62" i="17"/>
  <c r="H62" i="17"/>
  <c r="G61" i="17"/>
  <c r="F61" i="17"/>
  <c r="E61" i="17"/>
  <c r="I60" i="17"/>
  <c r="H60" i="17"/>
  <c r="I59" i="17"/>
  <c r="H59" i="17"/>
  <c r="I58" i="17"/>
  <c r="H58" i="17"/>
  <c r="G57" i="17"/>
  <c r="F57" i="17"/>
  <c r="E57" i="17"/>
  <c r="I56" i="17"/>
  <c r="I57" i="17" s="1"/>
  <c r="H56" i="17"/>
  <c r="H57" i="17" s="1"/>
  <c r="G55" i="17"/>
  <c r="F55" i="17"/>
  <c r="E55" i="17"/>
  <c r="I54" i="17"/>
  <c r="H54" i="17"/>
  <c r="J54" i="17" s="1"/>
  <c r="I53" i="17"/>
  <c r="H53" i="17"/>
  <c r="I52" i="17"/>
  <c r="H52" i="17"/>
  <c r="I51" i="17"/>
  <c r="H51" i="17"/>
  <c r="I50" i="17"/>
  <c r="H50" i="17"/>
  <c r="J50" i="17" s="1"/>
  <c r="I49" i="17"/>
  <c r="H49" i="17"/>
  <c r="I48" i="17"/>
  <c r="H48" i="17"/>
  <c r="I47" i="17"/>
  <c r="H47" i="17"/>
  <c r="I46" i="17"/>
  <c r="H46" i="17"/>
  <c r="J46" i="17" s="1"/>
  <c r="I45" i="17"/>
  <c r="H45" i="17"/>
  <c r="I44" i="17"/>
  <c r="H44" i="17"/>
  <c r="I43" i="17"/>
  <c r="H43" i="17"/>
  <c r="I42" i="17"/>
  <c r="H42" i="17"/>
  <c r="I41" i="17"/>
  <c r="H41" i="17"/>
  <c r="G40" i="17"/>
  <c r="F40" i="17"/>
  <c r="E40" i="17"/>
  <c r="I39" i="17"/>
  <c r="I40" i="17" s="1"/>
  <c r="H39" i="17"/>
  <c r="H40" i="17" s="1"/>
  <c r="G38" i="17"/>
  <c r="F38" i="17"/>
  <c r="E38" i="17"/>
  <c r="I37" i="17"/>
  <c r="H37" i="17"/>
  <c r="I36" i="17"/>
  <c r="H36" i="17"/>
  <c r="I35" i="17"/>
  <c r="H35" i="17"/>
  <c r="G34" i="17"/>
  <c r="F34" i="17"/>
  <c r="E34" i="17"/>
  <c r="I33" i="17"/>
  <c r="H33" i="17"/>
  <c r="I32" i="17"/>
  <c r="H32" i="17"/>
  <c r="I31" i="17"/>
  <c r="H31" i="17"/>
  <c r="H34" i="17" s="1"/>
  <c r="G30" i="17"/>
  <c r="F30" i="17"/>
  <c r="E30" i="17"/>
  <c r="I29" i="17"/>
  <c r="I30" i="17" s="1"/>
  <c r="H29" i="17"/>
  <c r="H30" i="17" s="1"/>
  <c r="G28" i="17"/>
  <c r="F28" i="17"/>
  <c r="E28" i="17"/>
  <c r="I27" i="17"/>
  <c r="H27" i="17"/>
  <c r="I26" i="17"/>
  <c r="H26" i="17"/>
  <c r="G25" i="17"/>
  <c r="F25" i="17"/>
  <c r="E25" i="17"/>
  <c r="I24" i="17"/>
  <c r="H24" i="17"/>
  <c r="I23" i="17"/>
  <c r="H23" i="17"/>
  <c r="G22" i="17"/>
  <c r="F22" i="17"/>
  <c r="E22" i="17"/>
  <c r="I21" i="17"/>
  <c r="H21" i="17"/>
  <c r="I20" i="17"/>
  <c r="H20" i="17"/>
  <c r="I19" i="17"/>
  <c r="H19" i="17"/>
  <c r="I18" i="17"/>
  <c r="H18" i="17"/>
  <c r="G17" i="17"/>
  <c r="F17" i="17"/>
  <c r="E17" i="17"/>
  <c r="I16" i="17"/>
  <c r="H16" i="17"/>
  <c r="I15" i="17"/>
  <c r="H15" i="17"/>
  <c r="I14" i="17"/>
  <c r="H14" i="17"/>
  <c r="I13" i="17"/>
  <c r="H13" i="17"/>
  <c r="I12" i="17"/>
  <c r="H12" i="17"/>
  <c r="I11" i="17"/>
  <c r="H11" i="17"/>
  <c r="G198" i="16"/>
  <c r="F198" i="16"/>
  <c r="E198" i="16"/>
  <c r="I197" i="16"/>
  <c r="H197" i="16"/>
  <c r="I196" i="16"/>
  <c r="H196" i="16"/>
  <c r="I195" i="16"/>
  <c r="H195" i="16"/>
  <c r="J195" i="16" s="1"/>
  <c r="I194" i="16"/>
  <c r="H194" i="16"/>
  <c r="I193" i="16"/>
  <c r="H193" i="16"/>
  <c r="I192" i="16"/>
  <c r="H192" i="16"/>
  <c r="I191" i="16"/>
  <c r="H191" i="16"/>
  <c r="J191" i="16" s="1"/>
  <c r="I190" i="16"/>
  <c r="H190" i="16"/>
  <c r="I189" i="16"/>
  <c r="H189" i="16"/>
  <c r="I188" i="16"/>
  <c r="H188" i="16"/>
  <c r="I187" i="16"/>
  <c r="H187" i="16"/>
  <c r="I186" i="16"/>
  <c r="H186" i="16"/>
  <c r="I185" i="16"/>
  <c r="H185" i="16"/>
  <c r="I184" i="16"/>
  <c r="H184" i="16"/>
  <c r="I183" i="16"/>
  <c r="H183" i="16"/>
  <c r="I182" i="16"/>
  <c r="H182" i="16"/>
  <c r="I181" i="16"/>
  <c r="H181" i="16"/>
  <c r="G180" i="16"/>
  <c r="F180" i="16"/>
  <c r="E180" i="16"/>
  <c r="I179" i="16"/>
  <c r="H179" i="16"/>
  <c r="H180" i="16" s="1"/>
  <c r="G178" i="16"/>
  <c r="F178" i="16"/>
  <c r="E178" i="16"/>
  <c r="I177" i="16"/>
  <c r="H177" i="16"/>
  <c r="I176" i="16"/>
  <c r="H176" i="16"/>
  <c r="I175" i="16"/>
  <c r="H175" i="16"/>
  <c r="I174" i="16"/>
  <c r="H174" i="16"/>
  <c r="I173" i="16"/>
  <c r="H173" i="16"/>
  <c r="I172" i="16"/>
  <c r="H172" i="16"/>
  <c r="I171" i="16"/>
  <c r="H171" i="16"/>
  <c r="I170" i="16"/>
  <c r="H170" i="16"/>
  <c r="I169" i="16"/>
  <c r="H169" i="16"/>
  <c r="J169" i="16" s="1"/>
  <c r="I168" i="16"/>
  <c r="H168" i="16"/>
  <c r="I167" i="16"/>
  <c r="H167" i="16"/>
  <c r="I166" i="16"/>
  <c r="H166" i="16"/>
  <c r="I165" i="16"/>
  <c r="H165" i="16"/>
  <c r="I164" i="16"/>
  <c r="H164" i="16"/>
  <c r="I163" i="16"/>
  <c r="H163" i="16"/>
  <c r="I162" i="16"/>
  <c r="H162" i="16"/>
  <c r="I161" i="16"/>
  <c r="H161" i="16"/>
  <c r="J161" i="16" s="1"/>
  <c r="I160" i="16"/>
  <c r="H160" i="16"/>
  <c r="I159" i="16"/>
  <c r="H159" i="16"/>
  <c r="I158" i="16"/>
  <c r="H158" i="16"/>
  <c r="I157" i="16"/>
  <c r="H157" i="16"/>
  <c r="I156" i="16"/>
  <c r="H156" i="16"/>
  <c r="I155" i="16"/>
  <c r="H155" i="16"/>
  <c r="I154" i="16"/>
  <c r="H154" i="16"/>
  <c r="I153" i="16"/>
  <c r="H153" i="16"/>
  <c r="J153" i="16" s="1"/>
  <c r="I152" i="16"/>
  <c r="H152" i="16"/>
  <c r="G151" i="16"/>
  <c r="F151" i="16"/>
  <c r="E151" i="16"/>
  <c r="I150" i="16"/>
  <c r="H150" i="16"/>
  <c r="I149" i="16"/>
  <c r="H149" i="16"/>
  <c r="I148" i="16"/>
  <c r="H148" i="16"/>
  <c r="J148" i="16" s="1"/>
  <c r="I147" i="16"/>
  <c r="H147" i="16"/>
  <c r="I146" i="16"/>
  <c r="H146" i="16"/>
  <c r="I145" i="16"/>
  <c r="H145" i="16"/>
  <c r="I144" i="16"/>
  <c r="H144" i="16"/>
  <c r="J144" i="16" s="1"/>
  <c r="I143" i="16"/>
  <c r="H143" i="16"/>
  <c r="I142" i="16"/>
  <c r="H142" i="16"/>
  <c r="I141" i="16"/>
  <c r="H141" i="16"/>
  <c r="I140" i="16"/>
  <c r="H140" i="16"/>
  <c r="J140" i="16" s="1"/>
  <c r="I139" i="16"/>
  <c r="H139" i="16"/>
  <c r="I138" i="16"/>
  <c r="H138" i="16"/>
  <c r="I137" i="16"/>
  <c r="H137" i="16"/>
  <c r="I136" i="16"/>
  <c r="H136" i="16"/>
  <c r="J136" i="16" s="1"/>
  <c r="I135" i="16"/>
  <c r="H135" i="16"/>
  <c r="I134" i="16"/>
  <c r="H134" i="16"/>
  <c r="I133" i="16"/>
  <c r="H133" i="16"/>
  <c r="I132" i="16"/>
  <c r="H132" i="16"/>
  <c r="J132" i="16" s="1"/>
  <c r="I131" i="16"/>
  <c r="H131" i="16"/>
  <c r="I130" i="16"/>
  <c r="H130" i="16"/>
  <c r="I129" i="16"/>
  <c r="H129" i="16"/>
  <c r="I128" i="16"/>
  <c r="H128" i="16"/>
  <c r="J128" i="16" s="1"/>
  <c r="I127" i="16"/>
  <c r="H127" i="16"/>
  <c r="I126" i="16"/>
  <c r="H126" i="16"/>
  <c r="I125" i="16"/>
  <c r="H125" i="16"/>
  <c r="I124" i="16"/>
  <c r="H124" i="16"/>
  <c r="G123" i="16"/>
  <c r="F123" i="16"/>
  <c r="E123" i="16"/>
  <c r="I122" i="16"/>
  <c r="H122" i="16"/>
  <c r="I121" i="16"/>
  <c r="H121" i="16"/>
  <c r="I120" i="16"/>
  <c r="H120" i="16"/>
  <c r="I119" i="16"/>
  <c r="H119" i="16"/>
  <c r="I118" i="16"/>
  <c r="H118" i="16"/>
  <c r="I117" i="16"/>
  <c r="H117" i="16"/>
  <c r="I116" i="16"/>
  <c r="H116" i="16"/>
  <c r="I115" i="16"/>
  <c r="H115" i="16"/>
  <c r="G114" i="16"/>
  <c r="F114" i="16"/>
  <c r="E114" i="16"/>
  <c r="I113" i="16"/>
  <c r="H113" i="16"/>
  <c r="J113" i="16" s="1"/>
  <c r="I112" i="16"/>
  <c r="I114" i="16" s="1"/>
  <c r="H112" i="16"/>
  <c r="G111" i="16"/>
  <c r="F111" i="16"/>
  <c r="E111" i="16"/>
  <c r="I110" i="16"/>
  <c r="H110" i="16"/>
  <c r="I109" i="16"/>
  <c r="H109" i="16"/>
  <c r="G108" i="16"/>
  <c r="F108" i="16"/>
  <c r="E108" i="16"/>
  <c r="I107" i="16"/>
  <c r="H107" i="16"/>
  <c r="I106" i="16"/>
  <c r="H106" i="16"/>
  <c r="J106" i="16" s="1"/>
  <c r="G105" i="16"/>
  <c r="F105" i="16"/>
  <c r="E105" i="16"/>
  <c r="I104" i="16"/>
  <c r="H104" i="16"/>
  <c r="I103" i="16"/>
  <c r="H103" i="16"/>
  <c r="G102" i="16"/>
  <c r="F102" i="16"/>
  <c r="E102" i="16"/>
  <c r="I101" i="16"/>
  <c r="H101" i="16"/>
  <c r="I100" i="16"/>
  <c r="H100" i="16"/>
  <c r="G99" i="16"/>
  <c r="F99" i="16"/>
  <c r="E99" i="16"/>
  <c r="I98" i="16"/>
  <c r="H98" i="16"/>
  <c r="I97" i="16"/>
  <c r="H97" i="16"/>
  <c r="I96" i="16"/>
  <c r="H96" i="16"/>
  <c r="G95" i="16"/>
  <c r="F95" i="16"/>
  <c r="E95" i="16"/>
  <c r="I94" i="16"/>
  <c r="H94" i="16"/>
  <c r="I93" i="16"/>
  <c r="H93" i="16"/>
  <c r="J92" i="16"/>
  <c r="G91" i="16"/>
  <c r="F91" i="16"/>
  <c r="E91" i="16"/>
  <c r="I90" i="16"/>
  <c r="H90" i="16"/>
  <c r="I89" i="16"/>
  <c r="H89" i="16"/>
  <c r="I88" i="16"/>
  <c r="H88" i="16"/>
  <c r="I87" i="16"/>
  <c r="H87" i="16"/>
  <c r="G86" i="16"/>
  <c r="F86" i="16"/>
  <c r="E86" i="16"/>
  <c r="I85" i="16"/>
  <c r="H85" i="16"/>
  <c r="I84" i="16"/>
  <c r="H84" i="16"/>
  <c r="I83" i="16"/>
  <c r="H83" i="16"/>
  <c r="I82" i="16"/>
  <c r="H82" i="16"/>
  <c r="I81" i="16"/>
  <c r="H81" i="16"/>
  <c r="I80" i="16"/>
  <c r="H80" i="16"/>
  <c r="I79" i="16"/>
  <c r="H79" i="16"/>
  <c r="I78" i="16"/>
  <c r="H78" i="16"/>
  <c r="I77" i="16"/>
  <c r="H77" i="16"/>
  <c r="I76" i="16"/>
  <c r="H76" i="16"/>
  <c r="G75" i="16"/>
  <c r="F75" i="16"/>
  <c r="E75" i="16"/>
  <c r="I74" i="16"/>
  <c r="H74" i="16"/>
  <c r="I73" i="16"/>
  <c r="H73" i="16"/>
  <c r="J73" i="16" s="1"/>
  <c r="I72" i="16"/>
  <c r="H72" i="16"/>
  <c r="I71" i="16"/>
  <c r="H71" i="16"/>
  <c r="I70" i="16"/>
  <c r="H70" i="16"/>
  <c r="I69" i="16"/>
  <c r="H69" i="16"/>
  <c r="J69" i="16" s="1"/>
  <c r="I68" i="16"/>
  <c r="H68" i="16"/>
  <c r="I67" i="16"/>
  <c r="H67" i="16"/>
  <c r="I66" i="16"/>
  <c r="H66" i="16"/>
  <c r="I65" i="16"/>
  <c r="H65" i="16"/>
  <c r="J65" i="16" s="1"/>
  <c r="I64" i="16"/>
  <c r="H64" i="16"/>
  <c r="I63" i="16"/>
  <c r="H63" i="16"/>
  <c r="I62" i="16"/>
  <c r="H62" i="16"/>
  <c r="I61" i="16"/>
  <c r="H61" i="16"/>
  <c r="G60" i="16"/>
  <c r="F60" i="16"/>
  <c r="E60" i="16"/>
  <c r="I59" i="16"/>
  <c r="H59" i="16"/>
  <c r="I58" i="16"/>
  <c r="H58" i="16"/>
  <c r="G57" i="16"/>
  <c r="F57" i="16"/>
  <c r="E57" i="16"/>
  <c r="I56" i="16"/>
  <c r="H56" i="16"/>
  <c r="I55" i="16"/>
  <c r="H55" i="16"/>
  <c r="I54" i="16"/>
  <c r="H54" i="16"/>
  <c r="J54" i="16" s="1"/>
  <c r="I53" i="16"/>
  <c r="H53" i="16"/>
  <c r="G52" i="16"/>
  <c r="F52" i="16"/>
  <c r="E52" i="16"/>
  <c r="I51" i="16"/>
  <c r="I52" i="16" s="1"/>
  <c r="H51" i="16"/>
  <c r="H52" i="16" s="1"/>
  <c r="G50" i="16"/>
  <c r="F50" i="16"/>
  <c r="E50" i="16"/>
  <c r="I49" i="16"/>
  <c r="H49" i="16"/>
  <c r="I48" i="16"/>
  <c r="H48" i="16"/>
  <c r="I47" i="16"/>
  <c r="H47" i="16"/>
  <c r="J47" i="16" s="1"/>
  <c r="I46" i="16"/>
  <c r="H46" i="16"/>
  <c r="I45" i="16"/>
  <c r="H45" i="16"/>
  <c r="I44" i="16"/>
  <c r="H44" i="16"/>
  <c r="I43" i="16"/>
  <c r="H43" i="16"/>
  <c r="I42" i="16"/>
  <c r="H42" i="16"/>
  <c r="G41" i="16"/>
  <c r="F41" i="16"/>
  <c r="E41" i="16"/>
  <c r="I40" i="16"/>
  <c r="H40" i="16"/>
  <c r="I39" i="16"/>
  <c r="H39" i="16"/>
  <c r="I38" i="16"/>
  <c r="H38" i="16"/>
  <c r="I37" i="16"/>
  <c r="H37" i="16"/>
  <c r="I36" i="16"/>
  <c r="H36" i="16"/>
  <c r="G35" i="16"/>
  <c r="F35" i="16"/>
  <c r="E35" i="16"/>
  <c r="I34" i="16"/>
  <c r="H34" i="16"/>
  <c r="I33" i="16"/>
  <c r="H33" i="16"/>
  <c r="G32" i="16"/>
  <c r="F32" i="16"/>
  <c r="E32" i="16"/>
  <c r="I31" i="16"/>
  <c r="H31" i="16"/>
  <c r="I30" i="16"/>
  <c r="H30" i="16"/>
  <c r="G29" i="16"/>
  <c r="F29" i="16"/>
  <c r="E29" i="16"/>
  <c r="I28" i="16"/>
  <c r="H28" i="16"/>
  <c r="I27" i="16"/>
  <c r="H27" i="16"/>
  <c r="G26" i="16"/>
  <c r="F26" i="16"/>
  <c r="E26" i="16"/>
  <c r="I25" i="16"/>
  <c r="H25" i="16"/>
  <c r="I24" i="16"/>
  <c r="H24" i="16"/>
  <c r="G23" i="16"/>
  <c r="F23" i="16"/>
  <c r="E23" i="16"/>
  <c r="I22" i="16"/>
  <c r="H22" i="16"/>
  <c r="J22" i="16" s="1"/>
  <c r="I21" i="16"/>
  <c r="H21" i="16"/>
  <c r="I20" i="16"/>
  <c r="H20" i="16"/>
  <c r="G19" i="16"/>
  <c r="F19" i="16"/>
  <c r="E19" i="16"/>
  <c r="I18" i="16"/>
  <c r="H18" i="16"/>
  <c r="I17" i="16"/>
  <c r="H17" i="16"/>
  <c r="G16" i="16"/>
  <c r="F16" i="16"/>
  <c r="E16" i="16"/>
  <c r="I15" i="16"/>
  <c r="H15" i="16"/>
  <c r="J15" i="16" s="1"/>
  <c r="I14" i="16"/>
  <c r="H14" i="16"/>
  <c r="I13" i="16"/>
  <c r="H13" i="16"/>
  <c r="I12" i="16"/>
  <c r="H12" i="16"/>
  <c r="I11" i="16"/>
  <c r="H11" i="16"/>
  <c r="J10" i="16"/>
  <c r="J9" i="16"/>
  <c r="J32" i="17" l="1"/>
  <c r="J36" i="17"/>
  <c r="J65" i="17"/>
  <c r="J79" i="17"/>
  <c r="J19" i="17"/>
  <c r="J78" i="16"/>
  <c r="J173" i="16"/>
  <c r="J13" i="16"/>
  <c r="J20" i="16"/>
  <c r="J27" i="16"/>
  <c r="J34" i="16"/>
  <c r="J45" i="16"/>
  <c r="J49" i="16"/>
  <c r="J56" i="16"/>
  <c r="J63" i="16"/>
  <c r="J67" i="16"/>
  <c r="J90" i="16"/>
  <c r="J101" i="16"/>
  <c r="J130" i="16"/>
  <c r="J134" i="16"/>
  <c r="J12" i="17"/>
  <c r="J23" i="17"/>
  <c r="J37" i="17"/>
  <c r="J48" i="17"/>
  <c r="J52" i="17"/>
  <c r="J59" i="17"/>
  <c r="J77" i="17"/>
  <c r="J84" i="17"/>
  <c r="J91" i="17"/>
  <c r="J124" i="17"/>
  <c r="J138" i="17"/>
  <c r="J21" i="16"/>
  <c r="J28" i="16"/>
  <c r="J71" i="17"/>
  <c r="J190" i="16"/>
  <c r="J194" i="16"/>
  <c r="H67" i="17"/>
  <c r="J105" i="17"/>
  <c r="I141" i="17"/>
  <c r="I23" i="16"/>
  <c r="J181" i="16"/>
  <c r="J185" i="16"/>
  <c r="J189" i="16"/>
  <c r="J193" i="16"/>
  <c r="J197" i="16"/>
  <c r="J74" i="17"/>
  <c r="H83" i="17"/>
  <c r="J99" i="17"/>
  <c r="J113" i="17"/>
  <c r="J49" i="17"/>
  <c r="G142" i="17"/>
  <c r="J75" i="17"/>
  <c r="I83" i="17"/>
  <c r="J86" i="17"/>
  <c r="J111" i="17"/>
  <c r="J33" i="16"/>
  <c r="J44" i="16"/>
  <c r="J48" i="16"/>
  <c r="J121" i="16"/>
  <c r="J90" i="17"/>
  <c r="J177" i="16"/>
  <c r="J66" i="17"/>
  <c r="J116" i="17"/>
  <c r="J127" i="16"/>
  <c r="J24" i="17"/>
  <c r="H80" i="17"/>
  <c r="J80" i="17" s="1"/>
  <c r="J120" i="17"/>
  <c r="J135" i="17"/>
  <c r="J80" i="16"/>
  <c r="J84" i="16"/>
  <c r="J120" i="16"/>
  <c r="J155" i="16"/>
  <c r="J159" i="16"/>
  <c r="J163" i="16"/>
  <c r="J171" i="16"/>
  <c r="J175" i="16"/>
  <c r="J21" i="17"/>
  <c r="J64" i="17"/>
  <c r="J92" i="17"/>
  <c r="J103" i="17"/>
  <c r="J110" i="17"/>
  <c r="J121" i="17"/>
  <c r="J125" i="17"/>
  <c r="J40" i="16"/>
  <c r="H60" i="16"/>
  <c r="J124" i="16"/>
  <c r="J179" i="16"/>
  <c r="J72" i="17"/>
  <c r="J55" i="16"/>
  <c r="J70" i="16"/>
  <c r="J89" i="16"/>
  <c r="J125" i="16"/>
  <c r="J43" i="17"/>
  <c r="J82" i="16"/>
  <c r="J118" i="16"/>
  <c r="J122" i="16"/>
  <c r="J33" i="17"/>
  <c r="J87" i="17"/>
  <c r="J127" i="17"/>
  <c r="J146" i="16"/>
  <c r="J38" i="16"/>
  <c r="J20" i="17"/>
  <c r="J44" i="17"/>
  <c r="H22" i="17"/>
  <c r="J22" i="17" s="1"/>
  <c r="J117" i="17"/>
  <c r="J134" i="17"/>
  <c r="E199" i="16"/>
  <c r="I19" i="16"/>
  <c r="I32" i="16"/>
  <c r="I41" i="16"/>
  <c r="H57" i="16"/>
  <c r="I60" i="16"/>
  <c r="H95" i="16"/>
  <c r="I111" i="16"/>
  <c r="I123" i="16"/>
  <c r="J129" i="16"/>
  <c r="J137" i="16"/>
  <c r="J139" i="16"/>
  <c r="J154" i="16"/>
  <c r="J160" i="16"/>
  <c r="J162" i="16"/>
  <c r="J167" i="16"/>
  <c r="J184" i="16"/>
  <c r="J13" i="17"/>
  <c r="J15" i="17"/>
  <c r="I25" i="17"/>
  <c r="I28" i="17"/>
  <c r="I55" i="17"/>
  <c r="J45" i="17"/>
  <c r="J47" i="17"/>
  <c r="J51" i="17"/>
  <c r="J69" i="17"/>
  <c r="I76" i="17"/>
  <c r="J81" i="17"/>
  <c r="H94" i="17"/>
  <c r="I104" i="17"/>
  <c r="H136" i="17"/>
  <c r="J72" i="16"/>
  <c r="J16" i="17"/>
  <c r="J25" i="16"/>
  <c r="J30" i="16"/>
  <c r="J37" i="16"/>
  <c r="J39" i="16"/>
  <c r="J66" i="16"/>
  <c r="J68" i="16"/>
  <c r="J85" i="16"/>
  <c r="J96" i="16"/>
  <c r="J98" i="16"/>
  <c r="I102" i="16"/>
  <c r="J103" i="16"/>
  <c r="I108" i="16"/>
  <c r="J110" i="16"/>
  <c r="J117" i="16"/>
  <c r="J141" i="16"/>
  <c r="J147" i="16"/>
  <c r="J166" i="16"/>
  <c r="J168" i="16"/>
  <c r="J170" i="16"/>
  <c r="J176" i="16"/>
  <c r="I180" i="16"/>
  <c r="J180" i="16" s="1"/>
  <c r="J188" i="16"/>
  <c r="J192" i="16"/>
  <c r="F142" i="17"/>
  <c r="J27" i="17"/>
  <c r="I38" i="17"/>
  <c r="J42" i="17"/>
  <c r="J53" i="17"/>
  <c r="J68" i="17"/>
  <c r="J70" i="17"/>
  <c r="J82" i="17"/>
  <c r="I88" i="17"/>
  <c r="J98" i="17"/>
  <c r="J102" i="17"/>
  <c r="J109" i="17"/>
  <c r="J139" i="17"/>
  <c r="H16" i="16"/>
  <c r="J14" i="16"/>
  <c r="H19" i="16"/>
  <c r="I29" i="16"/>
  <c r="J42" i="16"/>
  <c r="J58" i="16"/>
  <c r="J88" i="16"/>
  <c r="J182" i="16"/>
  <c r="J26" i="17"/>
  <c r="I34" i="17"/>
  <c r="J34" i="17" s="1"/>
  <c r="H61" i="17"/>
  <c r="J78" i="17"/>
  <c r="H128" i="17"/>
  <c r="I136" i="17"/>
  <c r="H75" i="16"/>
  <c r="I26" i="16"/>
  <c r="I50" i="16"/>
  <c r="J46" i="16"/>
  <c r="J59" i="16"/>
  <c r="J61" i="16"/>
  <c r="J79" i="16"/>
  <c r="I99" i="16"/>
  <c r="J100" i="16"/>
  <c r="I105" i="16"/>
  <c r="J107" i="16"/>
  <c r="H151" i="16"/>
  <c r="J131" i="16"/>
  <c r="J138" i="16"/>
  <c r="J145" i="16"/>
  <c r="J152" i="16"/>
  <c r="H198" i="16"/>
  <c r="J186" i="16"/>
  <c r="I22" i="17"/>
  <c r="J29" i="17"/>
  <c r="J31" i="17"/>
  <c r="I61" i="17"/>
  <c r="I67" i="17"/>
  <c r="I128" i="17"/>
  <c r="J131" i="17"/>
  <c r="J133" i="17"/>
  <c r="I75" i="16"/>
  <c r="J12" i="16"/>
  <c r="H41" i="16"/>
  <c r="J43" i="16"/>
  <c r="J62" i="16"/>
  <c r="H86" i="16"/>
  <c r="I86" i="16"/>
  <c r="J83" i="16"/>
  <c r="I95" i="16"/>
  <c r="J97" i="16"/>
  <c r="J104" i="16"/>
  <c r="I151" i="16"/>
  <c r="J135" i="16"/>
  <c r="J142" i="16"/>
  <c r="J149" i="16"/>
  <c r="I178" i="16"/>
  <c r="J156" i="16"/>
  <c r="J174" i="16"/>
  <c r="J187" i="16"/>
  <c r="J30" i="17"/>
  <c r="H38" i="17"/>
  <c r="H55" i="17"/>
  <c r="J56" i="17"/>
  <c r="J58" i="17"/>
  <c r="H85" i="17"/>
  <c r="H104" i="17"/>
  <c r="J123" i="17"/>
  <c r="J126" i="17"/>
  <c r="J132" i="17"/>
  <c r="J57" i="17"/>
  <c r="H76" i="17"/>
  <c r="H88" i="17"/>
  <c r="H100" i="17"/>
  <c r="H112" i="17"/>
  <c r="F199" i="16"/>
  <c r="J76" i="16"/>
  <c r="H91" i="16"/>
  <c r="H123" i="16"/>
  <c r="J143" i="16"/>
  <c r="J150" i="16"/>
  <c r="J157" i="16"/>
  <c r="J164" i="16"/>
  <c r="J35" i="17"/>
  <c r="J41" i="17"/>
  <c r="I73" i="17"/>
  <c r="I100" i="17"/>
  <c r="J101" i="17"/>
  <c r="I118" i="17"/>
  <c r="J130" i="17"/>
  <c r="J137" i="17"/>
  <c r="G199" i="16"/>
  <c r="I57" i="16"/>
  <c r="J74" i="16"/>
  <c r="J77" i="16"/>
  <c r="J112" i="16"/>
  <c r="J119" i="16"/>
  <c r="I198" i="16"/>
  <c r="E142" i="17"/>
  <c r="H25" i="17"/>
  <c r="J62" i="17"/>
  <c r="I94" i="17"/>
  <c r="I107" i="17"/>
  <c r="J17" i="16"/>
  <c r="J24" i="16"/>
  <c r="J31" i="16"/>
  <c r="I35" i="16"/>
  <c r="J64" i="16"/>
  <c r="J71" i="16"/>
  <c r="J81" i="16"/>
  <c r="J87" i="16"/>
  <c r="J109" i="16"/>
  <c r="J116" i="16"/>
  <c r="J126" i="16"/>
  <c r="J133" i="16"/>
  <c r="J158" i="16"/>
  <c r="J165" i="16"/>
  <c r="J172" i="16"/>
  <c r="J196" i="16"/>
  <c r="H17" i="17"/>
  <c r="H28" i="17"/>
  <c r="J28" i="17" s="1"/>
  <c r="J60" i="17"/>
  <c r="J63" i="17"/>
  <c r="J93" i="17"/>
  <c r="J106" i="17"/>
  <c r="I112" i="17"/>
  <c r="H118" i="17"/>
  <c r="H141" i="17"/>
  <c r="J141" i="17" s="1"/>
  <c r="J40" i="17"/>
  <c r="J85" i="17"/>
  <c r="H73" i="17"/>
  <c r="J11" i="17"/>
  <c r="I17" i="17"/>
  <c r="J18" i="17"/>
  <c r="J89" i="17"/>
  <c r="H107" i="17"/>
  <c r="J107" i="17" s="1"/>
  <c r="J119" i="17"/>
  <c r="J14" i="17"/>
  <c r="J39" i="17"/>
  <c r="J95" i="17"/>
  <c r="J108" i="17"/>
  <c r="J115" i="17"/>
  <c r="J129" i="17"/>
  <c r="J52" i="16"/>
  <c r="H50" i="16"/>
  <c r="H23" i="16"/>
  <c r="H26" i="16"/>
  <c r="H29" i="16"/>
  <c r="H32" i="16"/>
  <c r="J32" i="16" s="1"/>
  <c r="H35" i="16"/>
  <c r="J51" i="16"/>
  <c r="H99" i="16"/>
  <c r="H102" i="16"/>
  <c r="H105" i="16"/>
  <c r="H108" i="16"/>
  <c r="H111" i="16"/>
  <c r="H114" i="16"/>
  <c r="J114" i="16" s="1"/>
  <c r="J18" i="16"/>
  <c r="J36" i="16"/>
  <c r="J53" i="16"/>
  <c r="I91" i="16"/>
  <c r="J94" i="16"/>
  <c r="J115" i="16"/>
  <c r="H178" i="16"/>
  <c r="J183" i="16"/>
  <c r="J11" i="16"/>
  <c r="I16" i="16"/>
  <c r="J93" i="16"/>
  <c r="J151" i="16" l="1"/>
  <c r="J95" i="16"/>
  <c r="J136" i="17"/>
  <c r="J112" i="17"/>
  <c r="J38" i="17"/>
  <c r="J19" i="16"/>
  <c r="J55" i="17"/>
  <c r="J60" i="16"/>
  <c r="J67" i="17"/>
  <c r="J111" i="16"/>
  <c r="J104" i="17"/>
  <c r="J23" i="16"/>
  <c r="J50" i="16"/>
  <c r="J75" i="16"/>
  <c r="J76" i="17"/>
  <c r="J83" i="17"/>
  <c r="J128" i="17"/>
  <c r="J102" i="16"/>
  <c r="J91" i="16"/>
  <c r="J41" i="16"/>
  <c r="J86" i="16"/>
  <c r="J94" i="17"/>
  <c r="J99" i="16"/>
  <c r="J61" i="17"/>
  <c r="J73" i="17"/>
  <c r="J123" i="16"/>
  <c r="J198" i="16"/>
  <c r="J29" i="16"/>
  <c r="J57" i="16"/>
  <c r="J108" i="16"/>
  <c r="J25" i="17"/>
  <c r="J118" i="17"/>
  <c r="J100" i="17"/>
  <c r="J88" i="17"/>
  <c r="H199" i="16"/>
  <c r="J178" i="16"/>
  <c r="J105" i="16"/>
  <c r="H142" i="17"/>
  <c r="J26" i="16"/>
  <c r="I142" i="17"/>
  <c r="J16" i="16"/>
  <c r="J35" i="16"/>
  <c r="J17" i="17"/>
  <c r="I199" i="16"/>
  <c r="J199" i="16" l="1"/>
  <c r="A1" i="1" l="1"/>
  <c r="A1" i="18" l="1"/>
  <c r="F45" i="11"/>
  <c r="F44" i="11"/>
  <c r="F40" i="11"/>
  <c r="F41" i="11"/>
  <c r="F42" i="11"/>
  <c r="F43" i="11"/>
  <c r="F46" i="11"/>
  <c r="F39" i="11"/>
  <c r="H32" i="11"/>
  <c r="H31" i="11"/>
  <c r="H30" i="11"/>
  <c r="H29" i="11"/>
  <c r="H25" i="11"/>
  <c r="H24" i="11"/>
  <c r="H23" i="11"/>
  <c r="H22" i="11"/>
  <c r="H21" i="11"/>
  <c r="H20" i="11"/>
  <c r="H19" i="11"/>
  <c r="H17" i="11"/>
  <c r="H16" i="11"/>
  <c r="H15" i="11"/>
  <c r="H14" i="11"/>
  <c r="H12" i="11"/>
  <c r="H11" i="11"/>
  <c r="H10" i="11"/>
  <c r="H9" i="11"/>
  <c r="H8" i="11"/>
  <c r="H7" i="11"/>
  <c r="H6" i="11"/>
  <c r="H5" i="11"/>
  <c r="H4" i="11"/>
  <c r="H3" i="11"/>
  <c r="G13" i="11"/>
  <c r="G18" i="11" s="1"/>
  <c r="G26" i="11"/>
  <c r="G27" i="11"/>
  <c r="D3" i="11"/>
  <c r="D32" i="11"/>
  <c r="D30" i="11"/>
  <c r="D29" i="11"/>
  <c r="D28" i="11"/>
  <c r="D27" i="11"/>
  <c r="D25" i="11"/>
  <c r="D24" i="11"/>
  <c r="D23" i="11"/>
  <c r="D21" i="11"/>
  <c r="D20" i="11"/>
  <c r="D19" i="11"/>
  <c r="D18" i="11"/>
  <c r="D17" i="11"/>
  <c r="D16" i="11"/>
  <c r="D15" i="11"/>
  <c r="D14" i="11"/>
  <c r="D13" i="11"/>
  <c r="D12" i="11"/>
  <c r="D11" i="11"/>
  <c r="D10" i="11"/>
  <c r="D8" i="11"/>
  <c r="D7" i="11"/>
  <c r="D6" i="11"/>
  <c r="D5" i="11"/>
  <c r="D4" i="11"/>
  <c r="C31" i="11"/>
  <c r="B31" i="11"/>
  <c r="F27" i="11"/>
  <c r="F26" i="11"/>
  <c r="C22" i="11"/>
  <c r="C26" i="11" s="1"/>
  <c r="B22" i="11"/>
  <c r="B26" i="11" s="1"/>
  <c r="F13" i="11"/>
  <c r="F18" i="11" s="1"/>
  <c r="C9" i="11"/>
  <c r="B9" i="11"/>
  <c r="D31" i="11" l="1"/>
  <c r="H27" i="11"/>
  <c r="G28" i="11"/>
  <c r="D26" i="11"/>
  <c r="G33" i="11"/>
  <c r="H18" i="11"/>
  <c r="D9" i="11"/>
  <c r="F28" i="11"/>
  <c r="H28" i="11" s="1"/>
  <c r="D22" i="11"/>
  <c r="H26" i="11"/>
  <c r="H13" i="11"/>
  <c r="C33" i="11"/>
  <c r="B33" i="11"/>
  <c r="F33" i="11" l="1"/>
  <c r="F25" i="1" l="1"/>
  <c r="F10" i="1"/>
  <c r="F12" i="1" s="1"/>
  <c r="F14" i="1" s="1"/>
  <c r="D28" i="1" l="1"/>
  <c r="D30" i="20"/>
  <c r="F26" i="1"/>
  <c r="F28" i="1" s="1"/>
  <c r="F30" i="1" s="1"/>
  <c r="D35" i="20" l="1"/>
  <c r="D53" i="20" s="1"/>
  <c r="D55" i="20" s="1"/>
  <c r="K55" i="20" s="1"/>
  <c r="M20" i="18"/>
  <c r="M21" i="18" s="1"/>
  <c r="D30" i="1"/>
  <c r="P20" i="18" l="1"/>
  <c r="P21"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penny</author>
  </authors>
  <commentList>
    <comment ref="J14" authorId="0" shapeId="0" xr:uid="{2DE88D3A-EB46-4325-8922-E5173B6C37F8}">
      <text>
        <r>
          <rPr>
            <b/>
            <sz val="9"/>
            <color indexed="81"/>
            <rFont val="Tahoma"/>
            <family val="2"/>
          </rPr>
          <t>user:</t>
        </r>
        <r>
          <rPr>
            <sz val="9"/>
            <color indexed="81"/>
            <rFont val="Tahoma"/>
            <family val="2"/>
          </rPr>
          <t xml:space="preserve">
110.9.30</t>
        </r>
      </text>
    </comment>
    <comment ref="J16" authorId="0" shapeId="0" xr:uid="{EE1F06E5-0E08-4D8A-B6F7-63C2505FF5A7}">
      <text>
        <r>
          <rPr>
            <b/>
            <sz val="9"/>
            <color indexed="81"/>
            <rFont val="Tahoma"/>
            <family val="2"/>
          </rPr>
          <t>user:</t>
        </r>
        <r>
          <rPr>
            <sz val="9"/>
            <color indexed="81"/>
            <rFont val="Tahoma"/>
            <family val="2"/>
          </rPr>
          <t xml:space="preserve">
110.10.20
</t>
        </r>
      </text>
    </comment>
    <comment ref="J18" authorId="0" shapeId="0" xr:uid="{DCF25E1E-EC3C-40F5-A523-1000493743F9}">
      <text>
        <r>
          <rPr>
            <b/>
            <sz val="9"/>
            <color indexed="81"/>
            <rFont val="Tahoma"/>
            <family val="2"/>
          </rPr>
          <t>user:</t>
        </r>
        <r>
          <rPr>
            <sz val="9"/>
            <color indexed="81"/>
            <rFont val="Tahoma"/>
            <family val="2"/>
          </rPr>
          <t xml:space="preserve">
110.06.29
</t>
        </r>
      </text>
    </comment>
    <comment ref="D42" authorId="1" shapeId="0" xr:uid="{29D19E03-9A42-4DC3-B9F7-BB454F2E4808}">
      <text>
        <r>
          <rPr>
            <b/>
            <sz val="9"/>
            <color indexed="81"/>
            <rFont val="Tahoma"/>
            <family val="2"/>
          </rPr>
          <t>penny:</t>
        </r>
        <r>
          <rPr>
            <sz val="9"/>
            <color indexed="81"/>
            <rFont val="Tahoma"/>
            <family val="2"/>
          </rPr>
          <t xml:space="preserve">
</t>
        </r>
        <r>
          <rPr>
            <sz val="9"/>
            <color indexed="81"/>
            <rFont val="細明體"/>
            <family val="3"/>
            <charset val="136"/>
          </rPr>
          <t>本期倒推，次期請核至底稿</t>
        </r>
      </text>
    </comment>
  </commentList>
</comments>
</file>

<file path=xl/sharedStrings.xml><?xml version="1.0" encoding="utf-8"?>
<sst xmlns="http://schemas.openxmlformats.org/spreadsheetml/2006/main" count="3065" uniqueCount="2103">
  <si>
    <t>(</t>
    <phoneticPr fontId="2" type="noConversion"/>
  </si>
  <si>
    <t>)</t>
    <phoneticPr fontId="2" type="noConversion"/>
  </si>
  <si>
    <t>$</t>
    <phoneticPr fontId="2" type="noConversion"/>
  </si>
  <si>
    <t>單位：新台幣元</t>
    <phoneticPr fontId="2" type="noConversion"/>
  </si>
  <si>
    <t>$</t>
    <phoneticPr fontId="2" type="noConversion"/>
  </si>
  <si>
    <t>　</t>
  </si>
  <si>
    <t>流動負債</t>
  </si>
  <si>
    <t>$</t>
  </si>
  <si>
    <t>股東權益總計</t>
  </si>
  <si>
    <t>負債及股東權益總計</t>
  </si>
  <si>
    <t>單位：新台幣元</t>
    <phoneticPr fontId="2" type="noConversion"/>
  </si>
  <si>
    <t>金額</t>
    <phoneticPr fontId="2" type="noConversion"/>
  </si>
  <si>
    <t>%</t>
    <phoneticPr fontId="2" type="noConversion"/>
  </si>
  <si>
    <r>
      <t xml:space="preserve">  </t>
    </r>
    <r>
      <rPr>
        <b/>
        <sz val="12"/>
        <rFont val="標楷體"/>
        <family val="4"/>
        <charset val="136"/>
      </rPr>
      <t>　</t>
    </r>
  </si>
  <si>
    <t>$</t>
    <phoneticPr fontId="2" type="noConversion"/>
  </si>
  <si>
    <t>經理人：</t>
    <phoneticPr fontId="2" type="noConversion"/>
  </si>
  <si>
    <t>主辦會計：</t>
    <phoneticPr fontId="2" type="noConversion"/>
  </si>
  <si>
    <t xml:space="preserve"> </t>
    <phoneticPr fontId="2" type="noConversion"/>
  </si>
  <si>
    <t>金額</t>
    <phoneticPr fontId="2" type="noConversion"/>
  </si>
  <si>
    <t>%</t>
    <phoneticPr fontId="2" type="noConversion"/>
  </si>
  <si>
    <t>應付費用</t>
    <phoneticPr fontId="2" type="noConversion"/>
  </si>
  <si>
    <t>股東權益</t>
    <phoneticPr fontId="2" type="noConversion"/>
  </si>
  <si>
    <t>長期負債</t>
    <phoneticPr fontId="2" type="noConversion"/>
  </si>
  <si>
    <t>負債總計</t>
    <phoneticPr fontId="2" type="noConversion"/>
  </si>
  <si>
    <t>保留盈餘</t>
    <phoneticPr fontId="2" type="noConversion"/>
  </si>
  <si>
    <t>股本</t>
    <phoneticPr fontId="2" type="noConversion"/>
  </si>
  <si>
    <t>法定盈餘公積</t>
    <phoneticPr fontId="2" type="noConversion"/>
  </si>
  <si>
    <t>應付票據</t>
    <phoneticPr fontId="2" type="noConversion"/>
  </si>
  <si>
    <t>應付帳款</t>
    <phoneticPr fontId="2" type="noConversion"/>
  </si>
  <si>
    <t>其他流動負債</t>
    <phoneticPr fontId="2" type="noConversion"/>
  </si>
  <si>
    <t>一年內到期之長期借款</t>
    <phoneticPr fontId="2" type="noConversion"/>
  </si>
  <si>
    <r>
      <t>負債及股東權益</t>
    </r>
    <r>
      <rPr>
        <b/>
        <sz val="12"/>
        <rFont val="Book Antiqua"/>
        <family val="1"/>
      </rPr>
      <t xml:space="preserve"> </t>
    </r>
    <phoneticPr fontId="2" type="noConversion"/>
  </si>
  <si>
    <t>流動負債合計</t>
    <phoneticPr fontId="2" type="noConversion"/>
  </si>
  <si>
    <r>
      <t>股</t>
    </r>
    <r>
      <rPr>
        <b/>
        <sz val="12"/>
        <rFont val="Book Antiqua"/>
        <family val="1"/>
      </rPr>
      <t xml:space="preserve">        </t>
    </r>
    <r>
      <rPr>
        <b/>
        <sz val="12"/>
        <rFont val="標楷體"/>
        <family val="4"/>
        <charset val="136"/>
      </rPr>
      <t>本</t>
    </r>
    <r>
      <rPr>
        <b/>
        <sz val="12"/>
        <rFont val="Book Antiqua"/>
        <family val="1"/>
      </rPr>
      <t>(</t>
    </r>
    <r>
      <rPr>
        <b/>
        <sz val="12"/>
        <rFont val="標楷體"/>
        <family val="4"/>
        <charset val="136"/>
      </rPr>
      <t>附註一及三</t>
    </r>
    <r>
      <rPr>
        <b/>
        <sz val="12"/>
        <rFont val="Book Antiqua"/>
        <family val="1"/>
      </rPr>
      <t>)</t>
    </r>
    <phoneticPr fontId="2" type="noConversion"/>
  </si>
  <si>
    <r>
      <t>保留盈餘</t>
    </r>
    <r>
      <rPr>
        <b/>
        <sz val="12"/>
        <rFont val="Book Antiqua"/>
        <family val="1"/>
      </rPr>
      <t>(</t>
    </r>
    <r>
      <rPr>
        <b/>
        <sz val="12"/>
        <rFont val="標楷體"/>
        <family val="4"/>
        <charset val="136"/>
      </rPr>
      <t>附註三</t>
    </r>
    <r>
      <rPr>
        <b/>
        <sz val="12"/>
        <rFont val="Book Antiqua"/>
        <family val="1"/>
      </rPr>
      <t>)</t>
    </r>
    <phoneticPr fontId="2" type="noConversion"/>
  </si>
  <si>
    <r>
      <t>未分配盈餘</t>
    </r>
    <r>
      <rPr>
        <b/>
        <sz val="12"/>
        <rFont val="Times New Roman"/>
        <family val="1"/>
      </rPr>
      <t/>
    </r>
    <phoneticPr fontId="2" type="noConversion"/>
  </si>
  <si>
    <r>
      <t>短期借款</t>
    </r>
    <r>
      <rPr>
        <b/>
        <sz val="12"/>
        <rFont val="Book Antiqua"/>
        <family val="1"/>
      </rPr>
      <t>(</t>
    </r>
    <r>
      <rPr>
        <b/>
        <sz val="12"/>
        <rFont val="標楷體"/>
        <family val="4"/>
        <charset val="136"/>
      </rPr>
      <t>附註三及五</t>
    </r>
    <r>
      <rPr>
        <b/>
        <sz val="12"/>
        <rFont val="Book Antiqua"/>
        <family val="1"/>
      </rPr>
      <t>)</t>
    </r>
    <phoneticPr fontId="2" type="noConversion"/>
  </si>
  <si>
    <t>現金流量表</t>
    <phoneticPr fontId="2" type="noConversion"/>
  </si>
  <si>
    <t>)</t>
  </si>
  <si>
    <t>預收款項</t>
    <phoneticPr fontId="2" type="noConversion"/>
  </si>
  <si>
    <r>
      <t>應付所得稅</t>
    </r>
    <r>
      <rPr>
        <b/>
        <sz val="12"/>
        <rFont val="Book Antiqua"/>
        <family val="1"/>
      </rPr>
      <t>(</t>
    </r>
    <r>
      <rPr>
        <b/>
        <sz val="12"/>
        <rFont val="標楷體"/>
        <family val="4"/>
        <charset val="136"/>
      </rPr>
      <t>附註二及三</t>
    </r>
    <r>
      <rPr>
        <b/>
        <sz val="12"/>
        <rFont val="Book Antiqua"/>
        <family val="1"/>
      </rPr>
      <t>)</t>
    </r>
    <phoneticPr fontId="2" type="noConversion"/>
  </si>
  <si>
    <t>遞延所得稅負債-流動(附註二及三)</t>
    <phoneticPr fontId="2" type="noConversion"/>
  </si>
  <si>
    <t>基金及投資(附註一、二及三)</t>
    <phoneticPr fontId="2" type="noConversion"/>
  </si>
  <si>
    <r>
      <t>其他流動資產</t>
    </r>
    <r>
      <rPr>
        <b/>
        <sz val="12"/>
        <rFont val="Book Antiqua"/>
        <family val="1"/>
      </rPr>
      <t>(</t>
    </r>
    <r>
      <rPr>
        <b/>
        <sz val="12"/>
        <rFont val="標楷體"/>
        <family val="4"/>
        <charset val="136"/>
      </rPr>
      <t>附註五</t>
    </r>
    <r>
      <rPr>
        <b/>
        <sz val="12"/>
        <rFont val="Book Antiqua"/>
        <family val="1"/>
      </rPr>
      <t>)</t>
    </r>
    <phoneticPr fontId="2" type="noConversion"/>
  </si>
  <si>
    <r>
      <t>(</t>
    </r>
    <r>
      <rPr>
        <b/>
        <sz val="12"/>
        <rFont val="標楷體"/>
        <family val="4"/>
        <charset val="136"/>
      </rPr>
      <t>附註三及五</t>
    </r>
    <r>
      <rPr>
        <b/>
        <sz val="12"/>
        <rFont val="Book Antiqua"/>
        <family val="1"/>
      </rPr>
      <t>)</t>
    </r>
    <phoneticPr fontId="2" type="noConversion"/>
  </si>
  <si>
    <r>
      <t>長期借款</t>
    </r>
    <r>
      <rPr>
        <b/>
        <sz val="12"/>
        <rFont val="Book Antiqua"/>
        <family val="1"/>
      </rPr>
      <t>(</t>
    </r>
    <r>
      <rPr>
        <b/>
        <sz val="12"/>
        <rFont val="標楷體"/>
        <family val="4"/>
        <charset val="136"/>
      </rPr>
      <t>附註三及五</t>
    </r>
    <r>
      <rPr>
        <b/>
        <sz val="12"/>
        <rFont val="Book Antiqua"/>
        <family val="1"/>
      </rPr>
      <t>)</t>
    </r>
    <phoneticPr fontId="2" type="noConversion"/>
  </si>
  <si>
    <r>
      <t>資本公積</t>
    </r>
    <r>
      <rPr>
        <b/>
        <sz val="12"/>
        <rFont val="Book Antiqua"/>
        <family val="1"/>
      </rPr>
      <t>(</t>
    </r>
    <r>
      <rPr>
        <b/>
        <sz val="12"/>
        <rFont val="標楷體"/>
        <family val="4"/>
        <charset val="136"/>
      </rPr>
      <t>附註三</t>
    </r>
    <r>
      <rPr>
        <b/>
        <sz val="12"/>
        <rFont val="Book Antiqua"/>
        <family val="1"/>
      </rPr>
      <t>)</t>
    </r>
    <phoneticPr fontId="2" type="noConversion"/>
  </si>
  <si>
    <t>資本公積</t>
    <phoneticPr fontId="2" type="noConversion"/>
  </si>
  <si>
    <r>
      <rPr>
        <b/>
        <u/>
        <sz val="12"/>
        <rFont val="標楷體"/>
        <family val="4"/>
        <charset val="136"/>
      </rPr>
      <t>資　　　　　　產</t>
    </r>
    <r>
      <rPr>
        <b/>
        <sz val="12"/>
        <rFont val="Book Antiqua"/>
        <family val="1"/>
      </rPr>
      <t xml:space="preserve"> </t>
    </r>
    <phoneticPr fontId="2" type="noConversion"/>
  </si>
  <si>
    <r>
      <rPr>
        <b/>
        <sz val="12"/>
        <rFont val="標楷體"/>
        <family val="4"/>
        <charset val="136"/>
      </rPr>
      <t>流動資產</t>
    </r>
  </si>
  <si>
    <r>
      <rPr>
        <b/>
        <sz val="12"/>
        <rFont val="標楷體"/>
        <family val="4"/>
        <charset val="136"/>
      </rPr>
      <t>現　　金</t>
    </r>
    <r>
      <rPr>
        <b/>
        <sz val="12"/>
        <rFont val="Book Antiqua"/>
        <family val="1"/>
      </rPr>
      <t>(</t>
    </r>
    <r>
      <rPr>
        <b/>
        <sz val="12"/>
        <rFont val="標楷體"/>
        <family val="4"/>
        <charset val="136"/>
      </rPr>
      <t>附註二及三</t>
    </r>
    <r>
      <rPr>
        <b/>
        <sz val="12"/>
        <rFont val="Book Antiqua"/>
        <family val="1"/>
      </rPr>
      <t>)</t>
    </r>
    <phoneticPr fontId="2" type="noConversion"/>
  </si>
  <si>
    <r>
      <rPr>
        <b/>
        <sz val="12"/>
        <rFont val="標楷體"/>
        <family val="4"/>
        <charset val="136"/>
      </rPr>
      <t>應收票據</t>
    </r>
    <r>
      <rPr>
        <b/>
        <sz val="12"/>
        <rFont val="Book Antiqua"/>
        <family val="1"/>
      </rPr>
      <t>(</t>
    </r>
    <r>
      <rPr>
        <b/>
        <sz val="12"/>
        <rFont val="標楷體"/>
        <family val="4"/>
        <charset val="136"/>
      </rPr>
      <t>附註二</t>
    </r>
    <r>
      <rPr>
        <b/>
        <sz val="12"/>
        <rFont val="Book Antiqua"/>
        <family val="1"/>
      </rPr>
      <t>)</t>
    </r>
    <phoneticPr fontId="2" type="noConversion"/>
  </si>
  <si>
    <r>
      <rPr>
        <b/>
        <sz val="12"/>
        <rFont val="標楷體"/>
        <family val="4"/>
        <charset val="136"/>
      </rPr>
      <t>應收帳款</t>
    </r>
    <r>
      <rPr>
        <b/>
        <sz val="12"/>
        <rFont val="Book Antiqua"/>
        <family val="1"/>
      </rPr>
      <t>(</t>
    </r>
    <r>
      <rPr>
        <b/>
        <sz val="12"/>
        <rFont val="標楷體"/>
        <family val="4"/>
        <charset val="136"/>
      </rPr>
      <t>附註二</t>
    </r>
    <r>
      <rPr>
        <b/>
        <sz val="12"/>
        <rFont val="Book Antiqua"/>
        <family val="1"/>
      </rPr>
      <t>)</t>
    </r>
    <phoneticPr fontId="2" type="noConversion"/>
  </si>
  <si>
    <r>
      <rPr>
        <b/>
        <sz val="12"/>
        <rFont val="標楷體"/>
        <family val="4"/>
        <charset val="136"/>
      </rPr>
      <t>存　　貨（附註二及三）</t>
    </r>
    <phoneticPr fontId="2" type="noConversion"/>
  </si>
  <si>
    <r>
      <rPr>
        <b/>
        <sz val="12"/>
        <rFont val="標楷體"/>
        <family val="4"/>
        <charset val="136"/>
      </rPr>
      <t>預付款項</t>
    </r>
    <phoneticPr fontId="2" type="noConversion"/>
  </si>
  <si>
    <r>
      <rPr>
        <b/>
        <sz val="12"/>
        <rFont val="標楷體"/>
        <family val="4"/>
        <charset val="136"/>
      </rPr>
      <t>流動資產合計</t>
    </r>
    <phoneticPr fontId="2" type="noConversion"/>
  </si>
  <si>
    <r>
      <rPr>
        <b/>
        <sz val="12"/>
        <rFont val="標楷體"/>
        <family val="4"/>
        <charset val="136"/>
      </rPr>
      <t>採權益法之長期股權投資</t>
    </r>
    <r>
      <rPr>
        <b/>
        <sz val="12"/>
        <rFont val="Book Antiqua"/>
        <family val="1"/>
      </rPr>
      <t/>
    </r>
    <phoneticPr fontId="2" type="noConversion"/>
  </si>
  <si>
    <r>
      <rPr>
        <b/>
        <sz val="12"/>
        <rFont val="標楷體"/>
        <family val="4"/>
        <charset val="136"/>
      </rPr>
      <t>固定資產</t>
    </r>
    <r>
      <rPr>
        <b/>
        <sz val="12"/>
        <rFont val="Book Antiqua"/>
        <family val="1"/>
      </rPr>
      <t>(</t>
    </r>
    <r>
      <rPr>
        <b/>
        <sz val="12"/>
        <rFont val="標楷體"/>
        <family val="4"/>
        <charset val="136"/>
      </rPr>
      <t>附註二、三、四、五及六</t>
    </r>
    <r>
      <rPr>
        <b/>
        <sz val="12"/>
        <rFont val="Book Antiqua"/>
        <family val="1"/>
      </rPr>
      <t>)</t>
    </r>
    <phoneticPr fontId="2" type="noConversion"/>
  </si>
  <si>
    <r>
      <rPr>
        <b/>
        <sz val="12"/>
        <rFont val="標楷體"/>
        <family val="4"/>
        <charset val="136"/>
      </rPr>
      <t>成　　本</t>
    </r>
    <phoneticPr fontId="2" type="noConversion"/>
  </si>
  <si>
    <r>
      <rPr>
        <b/>
        <sz val="12"/>
        <rFont val="標楷體"/>
        <family val="4"/>
        <charset val="136"/>
      </rPr>
      <t>土　　地</t>
    </r>
    <phoneticPr fontId="2" type="noConversion"/>
  </si>
  <si>
    <r>
      <rPr>
        <b/>
        <sz val="12"/>
        <rFont val="標楷體"/>
        <family val="4"/>
        <charset val="136"/>
      </rPr>
      <t>房屋及建築</t>
    </r>
    <phoneticPr fontId="2" type="noConversion"/>
  </si>
  <si>
    <r>
      <rPr>
        <b/>
        <sz val="12"/>
        <rFont val="標楷體"/>
        <family val="4"/>
        <charset val="136"/>
      </rPr>
      <t>機器設備</t>
    </r>
    <phoneticPr fontId="2" type="noConversion"/>
  </si>
  <si>
    <r>
      <rPr>
        <b/>
        <sz val="12"/>
        <rFont val="標楷體"/>
        <family val="4"/>
        <charset val="136"/>
      </rPr>
      <t>運輸設備</t>
    </r>
    <phoneticPr fontId="2" type="noConversion"/>
  </si>
  <si>
    <r>
      <rPr>
        <b/>
        <sz val="12"/>
        <rFont val="標楷體"/>
        <family val="4"/>
        <charset val="136"/>
      </rPr>
      <t>辦公設備</t>
    </r>
    <phoneticPr fontId="2" type="noConversion"/>
  </si>
  <si>
    <r>
      <rPr>
        <b/>
        <sz val="12"/>
        <rFont val="標楷體"/>
        <family val="4"/>
        <charset val="136"/>
      </rPr>
      <t>其他固定資產</t>
    </r>
    <phoneticPr fontId="2" type="noConversion"/>
  </si>
  <si>
    <r>
      <rPr>
        <b/>
        <sz val="12"/>
        <rFont val="標楷體"/>
        <family val="4"/>
        <charset val="136"/>
      </rPr>
      <t>減：累計折舊　</t>
    </r>
    <phoneticPr fontId="2" type="noConversion"/>
  </si>
  <si>
    <r>
      <rPr>
        <b/>
        <sz val="12"/>
        <rFont val="標楷體"/>
        <family val="4"/>
        <charset val="136"/>
      </rPr>
      <t>預付設備款</t>
    </r>
    <phoneticPr fontId="2" type="noConversion"/>
  </si>
  <si>
    <r>
      <rPr>
        <b/>
        <sz val="12"/>
        <rFont val="標楷體"/>
        <family val="4"/>
        <charset val="136"/>
      </rPr>
      <t>固定資產淨額</t>
    </r>
    <phoneticPr fontId="2" type="noConversion"/>
  </si>
  <si>
    <r>
      <rPr>
        <b/>
        <sz val="12"/>
        <rFont val="標楷體"/>
        <family val="4"/>
        <charset val="136"/>
      </rPr>
      <t>其他非流動資產</t>
    </r>
    <phoneticPr fontId="2" type="noConversion"/>
  </si>
  <si>
    <r>
      <rPr>
        <b/>
        <sz val="12"/>
        <rFont val="標楷體"/>
        <family val="4"/>
        <charset val="136"/>
      </rPr>
      <t>存出保證金</t>
    </r>
    <r>
      <rPr>
        <b/>
        <sz val="12"/>
        <rFont val="Book Antiqua"/>
        <family val="1"/>
      </rPr>
      <t>(</t>
    </r>
    <r>
      <rPr>
        <b/>
        <sz val="12"/>
        <rFont val="標楷體"/>
        <family val="4"/>
        <charset val="136"/>
      </rPr>
      <t>附註五</t>
    </r>
    <r>
      <rPr>
        <b/>
        <sz val="12"/>
        <rFont val="Book Antiqua"/>
        <family val="1"/>
      </rPr>
      <t>)</t>
    </r>
    <phoneticPr fontId="2" type="noConversion"/>
  </si>
  <si>
    <r>
      <rPr>
        <b/>
        <sz val="12"/>
        <rFont val="標楷體"/>
        <family val="4"/>
        <charset val="136"/>
      </rPr>
      <t>未攤銷費用</t>
    </r>
    <r>
      <rPr>
        <b/>
        <sz val="12"/>
        <rFont val="Book Antiqua"/>
        <family val="1"/>
      </rPr>
      <t>(</t>
    </r>
    <r>
      <rPr>
        <b/>
        <sz val="12"/>
        <rFont val="標楷體"/>
        <family val="4"/>
        <charset val="136"/>
      </rPr>
      <t>附註二</t>
    </r>
    <r>
      <rPr>
        <b/>
        <sz val="12"/>
        <rFont val="Book Antiqua"/>
        <family val="1"/>
      </rPr>
      <t>)</t>
    </r>
    <phoneticPr fontId="2" type="noConversion"/>
  </si>
  <si>
    <r>
      <rPr>
        <b/>
        <sz val="12"/>
        <rFont val="標楷體"/>
        <family val="4"/>
        <charset val="136"/>
      </rPr>
      <t>其他資產合計</t>
    </r>
    <phoneticPr fontId="2" type="noConversion"/>
  </si>
  <si>
    <r>
      <rPr>
        <b/>
        <sz val="12"/>
        <rFont val="標楷體"/>
        <family val="4"/>
        <charset val="136"/>
      </rPr>
      <t>資　產　總　計</t>
    </r>
  </si>
  <si>
    <r>
      <rPr>
        <b/>
        <sz val="12"/>
        <rFont val="標楷體"/>
        <family val="4"/>
        <charset val="136"/>
      </rPr>
      <t>負</t>
    </r>
    <r>
      <rPr>
        <b/>
        <sz val="12"/>
        <rFont val="Book Antiqua"/>
        <family val="1"/>
      </rPr>
      <t xml:space="preserve"> </t>
    </r>
    <r>
      <rPr>
        <b/>
        <sz val="12"/>
        <rFont val="標楷體"/>
        <family val="4"/>
        <charset val="136"/>
      </rPr>
      <t>責</t>
    </r>
    <r>
      <rPr>
        <b/>
        <sz val="12"/>
        <rFont val="Book Antiqua"/>
        <family val="1"/>
      </rPr>
      <t xml:space="preserve"> </t>
    </r>
    <r>
      <rPr>
        <b/>
        <sz val="12"/>
        <rFont val="標楷體"/>
        <family val="4"/>
        <charset val="136"/>
      </rPr>
      <t>人：</t>
    </r>
  </si>
  <si>
    <t>未完工程及待驗設備</t>
    <phoneticPr fontId="2" type="noConversion"/>
  </si>
  <si>
    <t>－</t>
  </si>
  <si>
    <t>—</t>
  </si>
  <si>
    <t>權 益 變 動 表</t>
    <phoneticPr fontId="2" type="noConversion"/>
  </si>
  <si>
    <t>國外營運機構財務報表換算之兌換差額</t>
  </si>
  <si>
    <t>法定盈餘
公積</t>
    <phoneticPr fontId="2" type="noConversion"/>
  </si>
  <si>
    <t xml:space="preserve">本公司係依循企業會計準則公報第二號第二十二第二項之作法轉換至企業會計準則公報，因此揭露與先前適用之一般公認會計原則間之重大差異如下: </t>
    <phoneticPr fontId="9" type="noConversion"/>
  </si>
  <si>
    <t>民國一○四年十二月三十一日資產負債表項目之調節表</t>
    <phoneticPr fontId="9" type="noConversion"/>
  </si>
  <si>
    <t>先前一般公認會計原則</t>
  </si>
  <si>
    <t>項目</t>
  </si>
  <si>
    <t>金額</t>
  </si>
  <si>
    <t>現金及約當現金</t>
  </si>
  <si>
    <t>應收票據</t>
  </si>
  <si>
    <t>應收帳款</t>
  </si>
  <si>
    <t>其他應收款</t>
  </si>
  <si>
    <t>存貨</t>
  </si>
  <si>
    <t>在建工程</t>
  </si>
  <si>
    <t>預付款項</t>
  </si>
  <si>
    <t>遞延所得稅資產</t>
  </si>
  <si>
    <t>待出售非流動資產</t>
  </si>
  <si>
    <t>其他流動資產</t>
  </si>
  <si>
    <t>流動資產合計</t>
  </si>
  <si>
    <t>基金及投資</t>
  </si>
  <si>
    <t>償債基金</t>
  </si>
  <si>
    <t>採權益法之長期股權投資</t>
  </si>
  <si>
    <t>轉換之影響</t>
  </si>
  <si>
    <t>表達差異</t>
  </si>
  <si>
    <t>流動資產</t>
  </si>
  <si>
    <t>公平價值變動列入損益之金融資產-流動</t>
  </si>
  <si>
    <t>備供出售金融資產-流動</t>
  </si>
  <si>
    <t>持有至到期日金融資產-流動</t>
  </si>
  <si>
    <t>避險之衍生性金融資產-流動</t>
  </si>
  <si>
    <t>以成本衡量之金融資產-流動</t>
  </si>
  <si>
    <t>無活絡市場之債券投資-流動</t>
  </si>
  <si>
    <t>-</t>
  </si>
  <si>
    <t>公平價值變動列入損益之金融資產-非流動</t>
  </si>
  <si>
    <t>備供出售金融資產-非流動</t>
  </si>
  <si>
    <t>持有至到期日金融資產-非流動</t>
  </si>
  <si>
    <t>避險之衍生性金融資產-非流動</t>
  </si>
  <si>
    <t>以成本衡量之金融資產-非流動</t>
  </si>
  <si>
    <t>無活絡市場之債券投資-非流動</t>
  </si>
  <si>
    <t>其他金融資產</t>
  </si>
  <si>
    <t>固定資產淨額</t>
  </si>
  <si>
    <t>無形資產合計</t>
  </si>
  <si>
    <t>其他資產</t>
  </si>
  <si>
    <t>出租資產</t>
  </si>
  <si>
    <t>閒置資產</t>
  </si>
  <si>
    <t>存出保證金</t>
  </si>
  <si>
    <t>資產總計</t>
  </si>
  <si>
    <t>短期借款</t>
  </si>
  <si>
    <t>應付短期票券</t>
  </si>
  <si>
    <t>公平價值變動列入損益之金融負債-流動</t>
  </si>
  <si>
    <t>避險之衍生性金融負債-流動</t>
  </si>
  <si>
    <t>以成本衡量之金融負債-流動</t>
  </si>
  <si>
    <t>特別股負債-流動</t>
  </si>
  <si>
    <t>應付票據</t>
  </si>
  <si>
    <t>應付帳款</t>
  </si>
  <si>
    <t>應付所得稅</t>
  </si>
  <si>
    <t>其他應付款</t>
  </si>
  <si>
    <t>其他金融負債</t>
  </si>
  <si>
    <t>預收款項</t>
  </si>
  <si>
    <t>預收工程款</t>
  </si>
  <si>
    <t>應計產品保證負債</t>
  </si>
  <si>
    <t>遞延所得稅負債</t>
  </si>
  <si>
    <t>應付租賃款-流動</t>
  </si>
  <si>
    <t>與待出售非流動資產直接相關之負債</t>
  </si>
  <si>
    <t>其他流動負債</t>
  </si>
  <si>
    <t>長期負債</t>
  </si>
  <si>
    <t>公平價值變動列入損益之金融負債-非流動</t>
  </si>
  <si>
    <t>以成本衡量之金融負債-非流動</t>
  </si>
  <si>
    <t>應付公司債</t>
  </si>
  <si>
    <t>長期借款</t>
  </si>
  <si>
    <t>應付租賃款-非流動</t>
  </si>
  <si>
    <t>特別股負債-非流動</t>
  </si>
  <si>
    <t>其他負債</t>
  </si>
  <si>
    <t>存入保證金</t>
  </si>
  <si>
    <t>負債總計</t>
  </si>
  <si>
    <t>股本</t>
  </si>
  <si>
    <t>普通股股本</t>
  </si>
  <si>
    <t>特別股股本</t>
  </si>
  <si>
    <t>資本公積</t>
  </si>
  <si>
    <t>保留盈餘</t>
  </si>
  <si>
    <t>法定盈餘公積</t>
  </si>
  <si>
    <t>特別盈餘公積</t>
  </si>
  <si>
    <t>未分配盈餘</t>
  </si>
  <si>
    <t>股東權益其他項目</t>
  </si>
  <si>
    <t>未實現重估增值</t>
  </si>
  <si>
    <t>備供出售金融資產未實現損益</t>
  </si>
  <si>
    <t>累積換算調整數</t>
  </si>
  <si>
    <t>庫藏股票</t>
  </si>
  <si>
    <t>少數股權</t>
  </si>
  <si>
    <t>企業會計準則公報</t>
  </si>
  <si>
    <t>註</t>
  </si>
  <si>
    <t>透過損益按公允價值衡量之金融資產-流動</t>
  </si>
  <si>
    <t>避險之衍生金融資產-流動</t>
  </si>
  <si>
    <t>當期所得稅資產</t>
  </si>
  <si>
    <t>生物資產-流動</t>
  </si>
  <si>
    <t>3,5</t>
  </si>
  <si>
    <t>非流動資產</t>
  </si>
  <si>
    <t>透過損益按公允價值衡量之金融資產-非流動</t>
  </si>
  <si>
    <t>避險之衍生金融資產-非流動</t>
  </si>
  <si>
    <t>採權益法之投資</t>
  </si>
  <si>
    <t>不動產、廠房及設備</t>
  </si>
  <si>
    <t>投資性不動產</t>
  </si>
  <si>
    <t>無形資產</t>
  </si>
  <si>
    <t>生物資產-非流動</t>
  </si>
  <si>
    <t>預付設備款</t>
  </si>
  <si>
    <t>長期預付租金</t>
  </si>
  <si>
    <t>透過損益按公允價值衡量之金融負債-流動</t>
  </si>
  <si>
    <t>避險之衍生金融負債-流動</t>
  </si>
  <si>
    <t>當期所得稅負債</t>
  </si>
  <si>
    <t>保固之短期負債準備</t>
  </si>
  <si>
    <t>除役、復原及修復成本之短期負債準備</t>
  </si>
  <si>
    <t>重組之短期負債準備</t>
  </si>
  <si>
    <t>非流動負債</t>
  </si>
  <si>
    <t>透過損益按公允價值衡量之金融負債-非流動</t>
  </si>
  <si>
    <t>避險之衍生金融負債-非流動</t>
  </si>
  <si>
    <t xml:space="preserve">保固之長期負債準備 </t>
  </si>
  <si>
    <t>除役、復原及修復成本之長期負債準備</t>
  </si>
  <si>
    <t>重組之長期負債準備</t>
  </si>
  <si>
    <t>其他權益</t>
  </si>
  <si>
    <t>非控制權益</t>
  </si>
  <si>
    <t>權益總計</t>
  </si>
  <si>
    <t>負債及權益總計</t>
  </si>
  <si>
    <t>民國一○四年度綜合損益表項目之調節</t>
  </si>
  <si>
    <t>營業收入淨額</t>
  </si>
  <si>
    <t>營業成本</t>
  </si>
  <si>
    <t>營業毛利</t>
  </si>
  <si>
    <t>營業費用</t>
  </si>
  <si>
    <t>研究發展費用</t>
  </si>
  <si>
    <t>研發費用</t>
  </si>
  <si>
    <t>管理費用</t>
  </si>
  <si>
    <t>推銷費用</t>
  </si>
  <si>
    <t>合計</t>
  </si>
  <si>
    <t>其他收益及費損淨額</t>
  </si>
  <si>
    <t>營業利益</t>
  </si>
  <si>
    <t>營業外收入及利益</t>
  </si>
  <si>
    <t>營業外收入及支出</t>
  </si>
  <si>
    <t>採權益法認列之投資淨益</t>
  </si>
  <si>
    <t>採權益法認列之投資損益</t>
  </si>
  <si>
    <t>利息收入</t>
  </si>
  <si>
    <t>其他收入</t>
  </si>
  <si>
    <t>處分金融資產淨益</t>
  </si>
  <si>
    <t>其他利益及損失</t>
  </si>
  <si>
    <t>金融商品評價淨益</t>
  </si>
  <si>
    <t>營業外費用及損失</t>
  </si>
  <si>
    <t>處分固定資產損失</t>
  </si>
  <si>
    <t>利息費用</t>
  </si>
  <si>
    <t>財務成本</t>
  </si>
  <si>
    <t>金融資產減損損失</t>
  </si>
  <si>
    <t>兌換淨損</t>
  </si>
  <si>
    <t>其他損失</t>
  </si>
  <si>
    <t>稅前利益</t>
  </si>
  <si>
    <t>所得稅費用</t>
  </si>
  <si>
    <t>合併總淨利</t>
  </si>
  <si>
    <t>本期淨利</t>
  </si>
  <si>
    <t>現金流量避險</t>
  </si>
  <si>
    <t xml:space="preserve">採用權益法認列之其他綜合損益份額 </t>
  </si>
  <si>
    <t>與其他綜合損益組成部分相關之所得稅</t>
  </si>
  <si>
    <t>本期其他綜合損益(稅後淨額)</t>
  </si>
  <si>
    <t>本期綜合損益總額</t>
  </si>
  <si>
    <t>權益總計</t>
    <phoneticPr fontId="2" type="noConversion"/>
  </si>
  <si>
    <r>
      <t>(</t>
    </r>
    <r>
      <rPr>
        <b/>
        <sz val="12"/>
        <rFont val="標楷體"/>
        <family val="4"/>
        <charset val="136"/>
      </rPr>
      <t>請參閱後附財務報表附註</t>
    </r>
    <r>
      <rPr>
        <b/>
        <sz val="12"/>
        <rFont val="Book Antiqua"/>
        <family val="1"/>
      </rPr>
      <t>)</t>
    </r>
    <phoneticPr fontId="2" type="noConversion"/>
  </si>
  <si>
    <t>處分不動產、廠房及設備價款</t>
    <phoneticPr fontId="2" type="noConversion"/>
  </si>
  <si>
    <t>h.</t>
  </si>
  <si>
    <t>e.</t>
  </si>
  <si>
    <t>b1.</t>
    <phoneticPr fontId="9" type="noConversion"/>
  </si>
  <si>
    <t>k.</t>
  </si>
  <si>
    <r>
      <rPr>
        <b/>
        <sz val="16"/>
        <rFont val="標楷體"/>
        <family val="4"/>
        <charset val="136"/>
      </rPr>
      <t>牛津會計師事務所</t>
    </r>
    <phoneticPr fontId="9" type="noConversion"/>
  </si>
  <si>
    <t>商 業 會 計 項 目 表—資產</t>
    <phoneticPr fontId="9" type="noConversion"/>
  </si>
  <si>
    <t>(財簽適用)</t>
    <phoneticPr fontId="9" type="noConversion"/>
  </si>
  <si>
    <r>
      <rPr>
        <sz val="12"/>
        <color indexed="8"/>
        <rFont val="標楷體"/>
        <family val="4"/>
        <charset val="136"/>
      </rPr>
      <t>三級
項目</t>
    </r>
    <phoneticPr fontId="21" type="noConversion"/>
  </si>
  <si>
    <r>
      <rPr>
        <sz val="12"/>
        <color indexed="8"/>
        <rFont val="標楷體"/>
        <family val="4"/>
        <charset val="136"/>
      </rPr>
      <t>四級
項目</t>
    </r>
    <phoneticPr fontId="9" type="noConversion"/>
  </si>
  <si>
    <r>
      <rPr>
        <sz val="12"/>
        <rFont val="標楷體"/>
        <family val="4"/>
        <charset val="136"/>
      </rPr>
      <t>會計項目名稱</t>
    </r>
    <phoneticPr fontId="9" type="noConversion"/>
  </si>
  <si>
    <r>
      <rPr>
        <sz val="12"/>
        <rFont val="標楷體"/>
        <family val="4"/>
        <charset val="136"/>
      </rPr>
      <t>資產金額</t>
    </r>
    <phoneticPr fontId="9" type="noConversion"/>
  </si>
  <si>
    <r>
      <t>105</t>
    </r>
    <r>
      <rPr>
        <sz val="12"/>
        <color indexed="8"/>
        <rFont val="標楷體"/>
        <family val="4"/>
        <charset val="136"/>
      </rPr>
      <t>年</t>
    </r>
    <phoneticPr fontId="21" type="noConversion"/>
  </si>
  <si>
    <r>
      <t>104</t>
    </r>
    <r>
      <rPr>
        <sz val="12"/>
        <color indexed="8"/>
        <rFont val="標楷體"/>
        <family val="4"/>
        <charset val="136"/>
      </rPr>
      <t>年</t>
    </r>
    <phoneticPr fontId="21" type="noConversion"/>
  </si>
  <si>
    <r>
      <t>103</t>
    </r>
    <r>
      <rPr>
        <sz val="12"/>
        <color indexed="8"/>
        <rFont val="標楷體"/>
        <family val="4"/>
        <charset val="136"/>
      </rPr>
      <t>年</t>
    </r>
    <phoneticPr fontId="9" type="noConversion"/>
  </si>
  <si>
    <r>
      <rPr>
        <sz val="12"/>
        <color indexed="8"/>
        <rFont val="標楷體"/>
        <family val="4"/>
        <charset val="136"/>
      </rPr>
      <t>增加</t>
    </r>
    <r>
      <rPr>
        <sz val="12"/>
        <color indexed="8"/>
        <rFont val="Book Antiqua"/>
        <family val="1"/>
      </rPr>
      <t>(</t>
    </r>
    <r>
      <rPr>
        <sz val="12"/>
        <color indexed="8"/>
        <rFont val="標楷體"/>
        <family val="4"/>
        <charset val="136"/>
      </rPr>
      <t>減少</t>
    </r>
    <r>
      <rPr>
        <sz val="12"/>
        <color indexed="8"/>
        <rFont val="Book Antiqua"/>
        <family val="1"/>
      </rPr>
      <t>)</t>
    </r>
    <r>
      <rPr>
        <sz val="12"/>
        <color indexed="8"/>
        <rFont val="標楷體"/>
        <family val="4"/>
        <charset val="136"/>
      </rPr>
      <t>數</t>
    </r>
    <phoneticPr fontId="21" type="noConversion"/>
  </si>
  <si>
    <r>
      <t>105</t>
    </r>
    <r>
      <rPr>
        <sz val="12"/>
        <color indexed="8"/>
        <rFont val="標楷體"/>
        <family val="4"/>
        <charset val="136"/>
      </rPr>
      <t>年度</t>
    </r>
    <phoneticPr fontId="9" type="noConversion"/>
  </si>
  <si>
    <r>
      <t>104</t>
    </r>
    <r>
      <rPr>
        <sz val="12"/>
        <color indexed="8"/>
        <rFont val="標楷體"/>
        <family val="4"/>
        <charset val="136"/>
      </rPr>
      <t>年度</t>
    </r>
    <phoneticPr fontId="9" type="noConversion"/>
  </si>
  <si>
    <t>(1)</t>
    <phoneticPr fontId="9" type="noConversion"/>
  </si>
  <si>
    <t>(2)</t>
    <phoneticPr fontId="21" type="noConversion"/>
  </si>
  <si>
    <t>(3)</t>
    <phoneticPr fontId="9" type="noConversion"/>
  </si>
  <si>
    <t>(2)-(1)</t>
    <phoneticPr fontId="21" type="noConversion"/>
  </si>
  <si>
    <t>(3)-(2)</t>
    <phoneticPr fontId="9" type="noConversion"/>
  </si>
  <si>
    <t>篩選數字</t>
  </si>
  <si>
    <t>資   產</t>
    <phoneticPr fontId="9" type="noConversion"/>
  </si>
  <si>
    <t>流動資產</t>
    <phoneticPr fontId="9" type="noConversion"/>
  </si>
  <si>
    <t>111現金及約當現金</t>
  </si>
  <si>
    <t>1111</t>
    <phoneticPr fontId="9" type="noConversion"/>
  </si>
  <si>
    <t>庫存現金</t>
    <phoneticPr fontId="21" type="noConversion"/>
  </si>
  <si>
    <t>1112</t>
    <phoneticPr fontId="21" type="noConversion"/>
  </si>
  <si>
    <t>零用金/週轉金</t>
    <phoneticPr fontId="21" type="noConversion"/>
  </si>
  <si>
    <t>1113</t>
    <phoneticPr fontId="21" type="noConversion"/>
  </si>
  <si>
    <t>銀行存款</t>
  </si>
  <si>
    <t>1114</t>
    <phoneticPr fontId="21" type="noConversion"/>
  </si>
  <si>
    <t>在途現金</t>
    <phoneticPr fontId="21" type="noConversion"/>
  </si>
  <si>
    <t>1115</t>
    <phoneticPr fontId="21" type="noConversion"/>
  </si>
  <si>
    <t>約當現金</t>
  </si>
  <si>
    <t xml:space="preserve">111現金及約當現金 </t>
  </si>
  <si>
    <t>111</t>
    <phoneticPr fontId="9" type="noConversion"/>
  </si>
  <si>
    <t xml:space="preserve">現金及約當現金 </t>
    <phoneticPr fontId="9" type="noConversion"/>
  </si>
  <si>
    <t>112透過損益按公允價值衡量之金融資產－流動</t>
  </si>
  <si>
    <t>1121</t>
    <phoneticPr fontId="21" type="noConversion"/>
  </si>
  <si>
    <t>透過損益按公允價值衡量之金融資產－流動</t>
  </si>
  <si>
    <t>1122</t>
    <phoneticPr fontId="21" type="noConversion"/>
  </si>
  <si>
    <t>透過損益按公允價值衡量之金融資產評價調整—流動</t>
    <phoneticPr fontId="21" type="noConversion"/>
  </si>
  <si>
    <t xml:space="preserve">112透過損益按公允價值衡量之金融資產－流動 </t>
  </si>
  <si>
    <t>112</t>
    <phoneticPr fontId="9" type="noConversion"/>
  </si>
  <si>
    <t xml:space="preserve">透過損益按公允價值衡量之金融資產－流動 </t>
    <phoneticPr fontId="9" type="noConversion"/>
  </si>
  <si>
    <t>113備供出售金融資產－流動</t>
  </si>
  <si>
    <t>1131</t>
    <phoneticPr fontId="21" type="noConversion"/>
  </si>
  <si>
    <t>備供出售金融資產－流動</t>
  </si>
  <si>
    <t>1132</t>
    <phoneticPr fontId="21" type="noConversion"/>
  </si>
  <si>
    <t>備供出售金融資產評價調整—流動</t>
    <phoneticPr fontId="21" type="noConversion"/>
  </si>
  <si>
    <t>1133</t>
    <phoneticPr fontId="21" type="noConversion"/>
  </si>
  <si>
    <t>累計減損—備供出售金融資產—流動</t>
    <phoneticPr fontId="21" type="noConversion"/>
  </si>
  <si>
    <t xml:space="preserve">113備供出售金融資產－流動 </t>
  </si>
  <si>
    <t>113</t>
    <phoneticPr fontId="9" type="noConversion"/>
  </si>
  <si>
    <t xml:space="preserve">備供出售金融資產－流動 </t>
    <phoneticPr fontId="9" type="noConversion"/>
  </si>
  <si>
    <t>114以成本衡量之金融資產－流動</t>
  </si>
  <si>
    <t>1141</t>
    <phoneticPr fontId="21" type="noConversion"/>
  </si>
  <si>
    <t>以成本衡量之金融資產－流動</t>
  </si>
  <si>
    <t>1142</t>
    <phoneticPr fontId="21" type="noConversion"/>
  </si>
  <si>
    <t>累計減損—以成本衡量之金融資產—流動</t>
    <phoneticPr fontId="21" type="noConversion"/>
  </si>
  <si>
    <t xml:space="preserve">114以成本衡量之金融資產－流動 </t>
  </si>
  <si>
    <t>114</t>
    <phoneticPr fontId="9" type="noConversion"/>
  </si>
  <si>
    <t xml:space="preserve">以成本衡量之金融資產－流動 </t>
    <phoneticPr fontId="9" type="noConversion"/>
  </si>
  <si>
    <t>115無活絡市場之債務工具投資－流動</t>
  </si>
  <si>
    <t>1151</t>
    <phoneticPr fontId="21" type="noConversion"/>
  </si>
  <si>
    <t>無活絡市場之債務工具投資－流動</t>
  </si>
  <si>
    <t>1152</t>
    <phoneticPr fontId="21" type="noConversion"/>
  </si>
  <si>
    <t>累計減損—無活絡市場之債務工具投資—流動</t>
    <phoneticPr fontId="21" type="noConversion"/>
  </si>
  <si>
    <t xml:space="preserve">115無活絡市場之債務工具投資－流動 </t>
  </si>
  <si>
    <t>115</t>
    <phoneticPr fontId="9" type="noConversion"/>
  </si>
  <si>
    <t xml:space="preserve">無活絡市場之債務工具投資－流動 </t>
    <phoneticPr fontId="9" type="noConversion"/>
  </si>
  <si>
    <t>116持有至到期日金融資產—流動</t>
  </si>
  <si>
    <t>1161</t>
    <phoneticPr fontId="21" type="noConversion"/>
  </si>
  <si>
    <t>持有至到期日金融資產—流動</t>
    <phoneticPr fontId="21" type="noConversion"/>
  </si>
  <si>
    <t>1162</t>
    <phoneticPr fontId="21" type="noConversion"/>
  </si>
  <si>
    <t>累計減損—持有至到期日金融資產—流動</t>
    <phoneticPr fontId="21" type="noConversion"/>
  </si>
  <si>
    <t xml:space="preserve">116持有至到期日金融資產—流動 </t>
  </si>
  <si>
    <t>116</t>
    <phoneticPr fontId="9" type="noConversion"/>
  </si>
  <si>
    <t xml:space="preserve">持有至到期日金融資產—流動 </t>
    <phoneticPr fontId="9" type="noConversion"/>
  </si>
  <si>
    <t>117避險之衍生金融資產－流動</t>
  </si>
  <si>
    <t>1171</t>
    <phoneticPr fontId="21" type="noConversion"/>
  </si>
  <si>
    <t>避險之衍生金融資產－流動</t>
    <phoneticPr fontId="21" type="noConversion"/>
  </si>
  <si>
    <t>1172</t>
    <phoneticPr fontId="21" type="noConversion"/>
  </si>
  <si>
    <t>避險之衍生金融資產評價調整—流動</t>
    <phoneticPr fontId="21" type="noConversion"/>
  </si>
  <si>
    <t xml:space="preserve">117避險之衍生金融資產－流動 </t>
  </si>
  <si>
    <t>117</t>
    <phoneticPr fontId="9" type="noConversion"/>
  </si>
  <si>
    <t xml:space="preserve">避險之衍生金融資產－流動 </t>
    <phoneticPr fontId="9" type="noConversion"/>
  </si>
  <si>
    <t>118應收票據淨額</t>
  </si>
  <si>
    <t>1181</t>
    <phoneticPr fontId="21" type="noConversion"/>
  </si>
  <si>
    <t>應收票據</t>
    <phoneticPr fontId="21" type="noConversion"/>
  </si>
  <si>
    <t>1182</t>
    <phoneticPr fontId="21" type="noConversion"/>
  </si>
  <si>
    <t>應收票據貼現</t>
    <phoneticPr fontId="21" type="noConversion"/>
  </si>
  <si>
    <t>1183</t>
    <phoneticPr fontId="21" type="noConversion"/>
  </si>
  <si>
    <t>應收票據—關係人</t>
    <phoneticPr fontId="21" type="noConversion"/>
  </si>
  <si>
    <t>1184</t>
    <phoneticPr fontId="21" type="noConversion"/>
  </si>
  <si>
    <t>其他應收票據</t>
    <phoneticPr fontId="21" type="noConversion"/>
  </si>
  <si>
    <t>1185</t>
    <phoneticPr fontId="21" type="noConversion"/>
  </si>
  <si>
    <t>備抵呆帳—應收票據</t>
    <phoneticPr fontId="21" type="noConversion"/>
  </si>
  <si>
    <t xml:space="preserve">118應收票據淨額 </t>
  </si>
  <si>
    <t>118</t>
    <phoneticPr fontId="9" type="noConversion"/>
  </si>
  <si>
    <t xml:space="preserve">應收票據淨額 </t>
    <phoneticPr fontId="9" type="noConversion"/>
  </si>
  <si>
    <t>119應收帳款淨額</t>
  </si>
  <si>
    <t>1191</t>
    <phoneticPr fontId="21" type="noConversion"/>
  </si>
  <si>
    <t>1192</t>
  </si>
  <si>
    <t>備抵銷售退回及折讓</t>
    <phoneticPr fontId="21" type="noConversion"/>
  </si>
  <si>
    <t>1193</t>
  </si>
  <si>
    <t>應收分期帳款</t>
    <phoneticPr fontId="21" type="noConversion"/>
  </si>
  <si>
    <t>1194</t>
  </si>
  <si>
    <t>未實現利息收入</t>
    <phoneticPr fontId="21" type="noConversion"/>
  </si>
  <si>
    <t>1195</t>
  </si>
  <si>
    <t>應收租賃款</t>
    <phoneticPr fontId="21" type="noConversion"/>
  </si>
  <si>
    <t>1196</t>
  </si>
  <si>
    <t>未賺得融資收益</t>
    <phoneticPr fontId="21" type="noConversion"/>
  </si>
  <si>
    <t>1197</t>
  </si>
  <si>
    <t>應收帳款—關係人</t>
    <phoneticPr fontId="21" type="noConversion"/>
  </si>
  <si>
    <t>1198</t>
  </si>
  <si>
    <t>備抵呆帳—應收帳款</t>
    <phoneticPr fontId="21" type="noConversion"/>
  </si>
  <si>
    <t xml:space="preserve">119應收帳款淨額 </t>
  </si>
  <si>
    <t>119</t>
    <phoneticPr fontId="9" type="noConversion"/>
  </si>
  <si>
    <t xml:space="preserve">應收帳款淨額 </t>
    <phoneticPr fontId="9" type="noConversion"/>
  </si>
  <si>
    <r>
      <t>120</t>
    </r>
    <r>
      <rPr>
        <sz val="12"/>
        <color indexed="56"/>
        <rFont val="細明體"/>
        <family val="3"/>
        <charset val="136"/>
      </rPr>
      <t>應收建造合約款</t>
    </r>
    <phoneticPr fontId="9" type="noConversion"/>
  </si>
  <si>
    <t>120</t>
    <phoneticPr fontId="9" type="noConversion"/>
  </si>
  <si>
    <t>應收建造合約款</t>
    <phoneticPr fontId="21" type="noConversion"/>
  </si>
  <si>
    <r>
      <t>120</t>
    </r>
    <r>
      <rPr>
        <b/>
        <sz val="12"/>
        <color indexed="56"/>
        <rFont val="細明體"/>
        <family val="3"/>
        <charset val="136"/>
      </rPr>
      <t>應收建造合約款</t>
    </r>
    <phoneticPr fontId="9" type="noConversion"/>
  </si>
  <si>
    <t>120</t>
    <phoneticPr fontId="9" type="noConversion"/>
  </si>
  <si>
    <t>應收建造合約款</t>
  </si>
  <si>
    <t>121其他應收款</t>
  </si>
  <si>
    <t>1211</t>
    <phoneticPr fontId="21" type="noConversion"/>
  </si>
  <si>
    <t>應收收益</t>
    <phoneticPr fontId="21" type="noConversion"/>
  </si>
  <si>
    <t>1212</t>
    <phoneticPr fontId="21" type="noConversion"/>
  </si>
  <si>
    <t>其他應收款—關係人</t>
    <phoneticPr fontId="21" type="noConversion"/>
  </si>
  <si>
    <t>1213</t>
    <phoneticPr fontId="21" type="noConversion"/>
  </si>
  <si>
    <t>其他應收款—其他</t>
    <phoneticPr fontId="21" type="noConversion"/>
  </si>
  <si>
    <t>1214</t>
    <phoneticPr fontId="21" type="noConversion"/>
  </si>
  <si>
    <t>備抵呆帳—其他應收款</t>
    <phoneticPr fontId="21" type="noConversion"/>
  </si>
  <si>
    <t xml:space="preserve">121其他應收款 </t>
  </si>
  <si>
    <t>121</t>
    <phoneticPr fontId="9" type="noConversion"/>
  </si>
  <si>
    <t xml:space="preserve">其他應收款 </t>
    <phoneticPr fontId="9" type="noConversion"/>
  </si>
  <si>
    <t>122本期所得稅資產</t>
  </si>
  <si>
    <t>1221</t>
    <phoneticPr fontId="21" type="noConversion"/>
  </si>
  <si>
    <t>應收所得稅退稅款</t>
    <phoneticPr fontId="21" type="noConversion"/>
  </si>
  <si>
    <t>1222</t>
    <phoneticPr fontId="21" type="noConversion"/>
  </si>
  <si>
    <t>預付所得稅</t>
    <phoneticPr fontId="21" type="noConversion"/>
  </si>
  <si>
    <t xml:space="preserve">122本期所得稅資產 </t>
  </si>
  <si>
    <t>122</t>
    <phoneticPr fontId="9" type="noConversion"/>
  </si>
  <si>
    <t xml:space="preserve">本期所得稅資產 </t>
    <phoneticPr fontId="9" type="noConversion"/>
  </si>
  <si>
    <t>123-124存貨</t>
  </si>
  <si>
    <t>1231</t>
    <phoneticPr fontId="21" type="noConversion"/>
  </si>
  <si>
    <t>商品存貨</t>
    <phoneticPr fontId="21" type="noConversion"/>
  </si>
  <si>
    <t>1232</t>
    <phoneticPr fontId="21" type="noConversion"/>
  </si>
  <si>
    <t>寄銷品</t>
    <phoneticPr fontId="21" type="noConversion"/>
  </si>
  <si>
    <t>1233</t>
    <phoneticPr fontId="21" type="noConversion"/>
  </si>
  <si>
    <t>在途商品</t>
    <phoneticPr fontId="21" type="noConversion"/>
  </si>
  <si>
    <t>1234</t>
    <phoneticPr fontId="21" type="noConversion"/>
  </si>
  <si>
    <t>備抵存貨跌價損失(買賣業)</t>
    <phoneticPr fontId="21" type="noConversion"/>
  </si>
  <si>
    <t>1235</t>
    <phoneticPr fontId="21" type="noConversion"/>
  </si>
  <si>
    <t>製成品</t>
    <phoneticPr fontId="21" type="noConversion"/>
  </si>
  <si>
    <t>1236</t>
    <phoneticPr fontId="21" type="noConversion"/>
  </si>
  <si>
    <t>副產品</t>
    <phoneticPr fontId="21" type="noConversion"/>
  </si>
  <si>
    <t>1237</t>
    <phoneticPr fontId="21" type="noConversion"/>
  </si>
  <si>
    <t>在製品</t>
    <phoneticPr fontId="21" type="noConversion"/>
  </si>
  <si>
    <t>1238</t>
    <phoneticPr fontId="21" type="noConversion"/>
  </si>
  <si>
    <t>委外加工</t>
    <phoneticPr fontId="21" type="noConversion"/>
  </si>
  <si>
    <t>1239</t>
    <phoneticPr fontId="21" type="noConversion"/>
  </si>
  <si>
    <t>原料</t>
    <phoneticPr fontId="21" type="noConversion"/>
  </si>
  <si>
    <t>1240</t>
    <phoneticPr fontId="21" type="noConversion"/>
  </si>
  <si>
    <t>物料</t>
    <phoneticPr fontId="21" type="noConversion"/>
  </si>
  <si>
    <t>1241</t>
    <phoneticPr fontId="21" type="noConversion"/>
  </si>
  <si>
    <t>在途原物料</t>
    <phoneticPr fontId="21" type="noConversion"/>
  </si>
  <si>
    <t>1242</t>
    <phoneticPr fontId="21" type="noConversion"/>
  </si>
  <si>
    <t>備抵存貨跌價損失(製造業)</t>
    <phoneticPr fontId="21" type="noConversion"/>
  </si>
  <si>
    <t>1243</t>
    <phoneticPr fontId="21" type="noConversion"/>
  </si>
  <si>
    <t>農產品</t>
    <phoneticPr fontId="21" type="noConversion"/>
  </si>
  <si>
    <t>1244</t>
    <phoneticPr fontId="21" type="noConversion"/>
  </si>
  <si>
    <t>在建工程</t>
    <phoneticPr fontId="21" type="noConversion"/>
  </si>
  <si>
    <t xml:space="preserve">123-124存貨 </t>
  </si>
  <si>
    <t>123-124</t>
    <phoneticPr fontId="9" type="noConversion"/>
  </si>
  <si>
    <t xml:space="preserve">存　貨 </t>
    <phoneticPr fontId="9" type="noConversion"/>
  </si>
  <si>
    <t>126-127預付款項</t>
  </si>
  <si>
    <t>1261</t>
    <phoneticPr fontId="21" type="noConversion"/>
  </si>
  <si>
    <t>預付薪資</t>
    <phoneticPr fontId="21" type="noConversion"/>
  </si>
  <si>
    <t>1262</t>
    <phoneticPr fontId="21" type="noConversion"/>
  </si>
  <si>
    <t>預付租金</t>
    <phoneticPr fontId="21" type="noConversion"/>
  </si>
  <si>
    <t>1263</t>
    <phoneticPr fontId="21" type="noConversion"/>
  </si>
  <si>
    <t>預付保險費</t>
    <phoneticPr fontId="21" type="noConversion"/>
  </si>
  <si>
    <t>1264</t>
    <phoneticPr fontId="21" type="noConversion"/>
  </si>
  <si>
    <t>用品盤存</t>
    <phoneticPr fontId="21" type="noConversion"/>
  </si>
  <si>
    <t>1265</t>
    <phoneticPr fontId="21" type="noConversion"/>
  </si>
  <si>
    <t>其他預付費用</t>
    <phoneticPr fontId="21" type="noConversion"/>
  </si>
  <si>
    <t>1266</t>
    <phoneticPr fontId="21" type="noConversion"/>
  </si>
  <si>
    <t>預付貨款</t>
    <phoneticPr fontId="21" type="noConversion"/>
  </si>
  <si>
    <t>1267</t>
    <phoneticPr fontId="21" type="noConversion"/>
  </si>
  <si>
    <t>預付投資款</t>
    <phoneticPr fontId="21" type="noConversion"/>
  </si>
  <si>
    <t>1268</t>
    <phoneticPr fontId="21" type="noConversion"/>
  </si>
  <si>
    <t>進項稅額</t>
    <phoneticPr fontId="21" type="noConversion"/>
  </si>
  <si>
    <t>1269</t>
    <phoneticPr fontId="21" type="noConversion"/>
  </si>
  <si>
    <t>留抵稅額</t>
    <phoneticPr fontId="21" type="noConversion"/>
  </si>
  <si>
    <t>1270</t>
    <phoneticPr fontId="21" type="noConversion"/>
  </si>
  <si>
    <t>其他預付款項</t>
    <phoneticPr fontId="21" type="noConversion"/>
  </si>
  <si>
    <t xml:space="preserve">126-127預付款項 </t>
  </si>
  <si>
    <t>126-127</t>
    <phoneticPr fontId="9" type="noConversion"/>
  </si>
  <si>
    <t xml:space="preserve">預付款項 </t>
    <phoneticPr fontId="9" type="noConversion"/>
  </si>
  <si>
    <t>128其他流動資產</t>
  </si>
  <si>
    <t>1281</t>
    <phoneticPr fontId="21" type="noConversion"/>
  </si>
  <si>
    <t>暫付款</t>
    <phoneticPr fontId="21" type="noConversion"/>
  </si>
  <si>
    <t>1282</t>
    <phoneticPr fontId="21" type="noConversion"/>
  </si>
  <si>
    <t>代付款</t>
    <phoneticPr fontId="21" type="noConversion"/>
  </si>
  <si>
    <t>1283</t>
    <phoneticPr fontId="21" type="noConversion"/>
  </si>
  <si>
    <t>員工借支</t>
    <phoneticPr fontId="21" type="noConversion"/>
  </si>
  <si>
    <t>1284</t>
    <phoneticPr fontId="21" type="noConversion"/>
  </si>
  <si>
    <t>存出保證金</t>
    <phoneticPr fontId="21" type="noConversion"/>
  </si>
  <si>
    <t xml:space="preserve">128其他流動資產 </t>
  </si>
  <si>
    <t>128</t>
  </si>
  <si>
    <t xml:space="preserve">其他流動資產 </t>
    <phoneticPr fontId="9" type="noConversion"/>
  </si>
  <si>
    <t>非流動資產</t>
    <phoneticPr fontId="9" type="noConversion"/>
  </si>
  <si>
    <t>131透過損益按公允價值衡量之金融資產—非流動</t>
  </si>
  <si>
    <t>1311</t>
    <phoneticPr fontId="21" type="noConversion"/>
  </si>
  <si>
    <t>透過損益按公允價值衡量之金融資產—非流動</t>
    <phoneticPr fontId="21" type="noConversion"/>
  </si>
  <si>
    <t>1312</t>
    <phoneticPr fontId="21" type="noConversion"/>
  </si>
  <si>
    <t>透過損益按公允價值衡量之金融資評價調整—非流動</t>
    <phoneticPr fontId="21" type="noConversion"/>
  </si>
  <si>
    <t xml:space="preserve">131透過損益按公允價值衡量之金融資產—非流動 </t>
  </si>
  <si>
    <t>131</t>
  </si>
  <si>
    <t xml:space="preserve">透過損益按公允價值衡量之金融資產—非流動 </t>
    <phoneticPr fontId="9" type="noConversion"/>
  </si>
  <si>
    <t>132備供出售金融資產—非流動</t>
  </si>
  <si>
    <t>1321</t>
    <phoneticPr fontId="21" type="noConversion"/>
  </si>
  <si>
    <t>備供出售金融資產—非流動</t>
    <phoneticPr fontId="21" type="noConversion"/>
  </si>
  <si>
    <t>1322</t>
    <phoneticPr fontId="21" type="noConversion"/>
  </si>
  <si>
    <t>備供出售金融資產評價調整—非流動</t>
    <phoneticPr fontId="21" type="noConversion"/>
  </si>
  <si>
    <t>1323</t>
    <phoneticPr fontId="21" type="noConversion"/>
  </si>
  <si>
    <t>累計減損—備供出售金融資產—非流動</t>
    <phoneticPr fontId="21" type="noConversion"/>
  </si>
  <si>
    <t xml:space="preserve">132備供出售金融資產—非流動 </t>
  </si>
  <si>
    <t>132</t>
  </si>
  <si>
    <t xml:space="preserve">備供出售金融資產—非流動 </t>
    <phoneticPr fontId="9" type="noConversion"/>
  </si>
  <si>
    <t>133以成本衡量之金融資產—非流動</t>
  </si>
  <si>
    <t>1331</t>
    <phoneticPr fontId="21" type="noConversion"/>
  </si>
  <si>
    <t>以成本衡量之金融資產—非流動</t>
    <phoneticPr fontId="21" type="noConversion"/>
  </si>
  <si>
    <t>1332</t>
    <phoneticPr fontId="21" type="noConversion"/>
  </si>
  <si>
    <t>累計減損—以成本衡量之金融資產—非流動</t>
    <phoneticPr fontId="21" type="noConversion"/>
  </si>
  <si>
    <t xml:space="preserve">133以成本衡量之金融資產—非流動 </t>
  </si>
  <si>
    <t>133</t>
  </si>
  <si>
    <t xml:space="preserve">以成本衡量之金融資產—非流動 </t>
    <phoneticPr fontId="9" type="noConversion"/>
  </si>
  <si>
    <t>134無活絡市場之債務工具投資－非流動</t>
  </si>
  <si>
    <t>1341</t>
    <phoneticPr fontId="21" type="noConversion"/>
  </si>
  <si>
    <t>無活絡市場之債務工具投資—非流動</t>
    <phoneticPr fontId="21" type="noConversion"/>
  </si>
  <si>
    <t>1342</t>
    <phoneticPr fontId="21" type="noConversion"/>
  </si>
  <si>
    <t>累計減損—無活絡市場之債務工具投資—非流動</t>
    <phoneticPr fontId="21" type="noConversion"/>
  </si>
  <si>
    <t xml:space="preserve">134無活絡市場之債務工具投資－非流動 </t>
  </si>
  <si>
    <t>134</t>
  </si>
  <si>
    <t xml:space="preserve">無活絡市場之債務工具投資－非流動 </t>
    <phoneticPr fontId="9" type="noConversion"/>
  </si>
  <si>
    <t>135持有至到期日金融資產—非流動</t>
  </si>
  <si>
    <t>1351</t>
    <phoneticPr fontId="21" type="noConversion"/>
  </si>
  <si>
    <t>持有至到期日期金融資產—非流動</t>
    <phoneticPr fontId="21" type="noConversion"/>
  </si>
  <si>
    <t>1352</t>
    <phoneticPr fontId="21" type="noConversion"/>
  </si>
  <si>
    <t>累計減損—持有至到期日金融資產—非流動</t>
    <phoneticPr fontId="21" type="noConversion"/>
  </si>
  <si>
    <t xml:space="preserve">135持有至到期日金融資產—非流動 </t>
  </si>
  <si>
    <t>135</t>
  </si>
  <si>
    <t xml:space="preserve">持有至到期日金融資產—非流動 </t>
    <phoneticPr fontId="9" type="noConversion"/>
  </si>
  <si>
    <t>136避險之衍生金融資產—非流動</t>
  </si>
  <si>
    <t>1361</t>
    <phoneticPr fontId="21" type="noConversion"/>
  </si>
  <si>
    <t>避險之衍生金融資產—非流動</t>
    <phoneticPr fontId="21" type="noConversion"/>
  </si>
  <si>
    <t>1362</t>
    <phoneticPr fontId="21" type="noConversion"/>
  </si>
  <si>
    <t>避險之衍生金融資產評價調整—非流動</t>
    <phoneticPr fontId="21" type="noConversion"/>
  </si>
  <si>
    <t xml:space="preserve">136避險之衍生金融資產—非流動 </t>
  </si>
  <si>
    <t>136</t>
  </si>
  <si>
    <t xml:space="preserve">避險之衍生金融資產—非流動 </t>
    <phoneticPr fontId="9" type="noConversion"/>
  </si>
  <si>
    <t>137採用權益法之投資</t>
  </si>
  <si>
    <t>1371</t>
    <phoneticPr fontId="21" type="noConversion"/>
  </si>
  <si>
    <t>採用權益法之投資</t>
    <phoneticPr fontId="21" type="noConversion"/>
  </si>
  <si>
    <t>1372</t>
    <phoneticPr fontId="21" type="noConversion"/>
  </si>
  <si>
    <t>累計減損—採用權益法之投資</t>
    <phoneticPr fontId="21" type="noConversion"/>
  </si>
  <si>
    <t xml:space="preserve">137採用權益法之投資 </t>
  </si>
  <si>
    <t>137</t>
  </si>
  <si>
    <t xml:space="preserve">採用權益法之投資 </t>
    <phoneticPr fontId="9" type="noConversion"/>
  </si>
  <si>
    <t>138投資性不動產</t>
  </si>
  <si>
    <t>1381</t>
    <phoneticPr fontId="21" type="noConversion"/>
  </si>
  <si>
    <t>投資性不動產—土地—成本</t>
    <phoneticPr fontId="21" type="noConversion"/>
  </si>
  <si>
    <t>1382</t>
  </si>
  <si>
    <t>投資性不動產—土地—累計公允價值變動數</t>
    <phoneticPr fontId="21" type="noConversion"/>
  </si>
  <si>
    <t>1383</t>
  </si>
  <si>
    <t>累計減損—投資性不動產—土地</t>
    <phoneticPr fontId="21" type="noConversion"/>
  </si>
  <si>
    <t>1384</t>
  </si>
  <si>
    <t>投資性不動產—建築物—成本</t>
    <phoneticPr fontId="21" type="noConversion"/>
  </si>
  <si>
    <t>1385</t>
  </si>
  <si>
    <t>投資性不動產—建築物—重估增值</t>
    <phoneticPr fontId="21" type="noConversion"/>
  </si>
  <si>
    <t>1386</t>
  </si>
  <si>
    <t>投資性不動產—建築物—累計公允價值變動數</t>
    <phoneticPr fontId="21" type="noConversion"/>
  </si>
  <si>
    <t>1387</t>
  </si>
  <si>
    <t>累計折舊—投資性不動產—建築物</t>
    <phoneticPr fontId="21" type="noConversion"/>
  </si>
  <si>
    <t>1388</t>
  </si>
  <si>
    <t>累計減損—投資性不動產—建築物</t>
    <phoneticPr fontId="21" type="noConversion"/>
  </si>
  <si>
    <t xml:space="preserve">138投資性不動產 </t>
  </si>
  <si>
    <t>138</t>
  </si>
  <si>
    <t xml:space="preserve">投資性不動產 </t>
    <phoneticPr fontId="9" type="noConversion"/>
  </si>
  <si>
    <t>139-146不動產、廠房及設備</t>
  </si>
  <si>
    <t>1391</t>
    <phoneticPr fontId="21" type="noConversion"/>
  </si>
  <si>
    <t>土地—成本</t>
    <phoneticPr fontId="21" type="noConversion"/>
  </si>
  <si>
    <t>1392</t>
    <phoneticPr fontId="21" type="noConversion"/>
  </si>
  <si>
    <t>土地—重估增值</t>
    <phoneticPr fontId="21" type="noConversion"/>
  </si>
  <si>
    <t>1393</t>
    <phoneticPr fontId="21" type="noConversion"/>
  </si>
  <si>
    <t>累計減損—土地</t>
    <phoneticPr fontId="21" type="noConversion"/>
  </si>
  <si>
    <t>1401</t>
    <phoneticPr fontId="21" type="noConversion"/>
  </si>
  <si>
    <t>土地改良物—成本</t>
    <phoneticPr fontId="21" type="noConversion"/>
  </si>
  <si>
    <t>1402</t>
    <phoneticPr fontId="21" type="noConversion"/>
  </si>
  <si>
    <t>土地改良物—重估增值</t>
    <phoneticPr fontId="21" type="noConversion"/>
  </si>
  <si>
    <t>1403</t>
    <phoneticPr fontId="21" type="noConversion"/>
  </si>
  <si>
    <t>累計折舊—土地改良物</t>
    <phoneticPr fontId="21" type="noConversion"/>
  </si>
  <si>
    <t>1404</t>
    <phoneticPr fontId="21" type="noConversion"/>
  </si>
  <si>
    <t>累計減損—土地改良物</t>
    <phoneticPr fontId="21" type="noConversion"/>
  </si>
  <si>
    <t>1411</t>
    <phoneticPr fontId="21" type="noConversion"/>
  </si>
  <si>
    <t>房屋及建築—成本</t>
    <phoneticPr fontId="21" type="noConversion"/>
  </si>
  <si>
    <t>1412</t>
    <phoneticPr fontId="21" type="noConversion"/>
  </si>
  <si>
    <t>屋屋及建築—重估增值</t>
    <phoneticPr fontId="21" type="noConversion"/>
  </si>
  <si>
    <t>1413</t>
    <phoneticPr fontId="21" type="noConversion"/>
  </si>
  <si>
    <t>累計折舊—房屋及建築</t>
    <phoneticPr fontId="21" type="noConversion"/>
  </si>
  <si>
    <t>1414</t>
    <phoneticPr fontId="21" type="noConversion"/>
  </si>
  <si>
    <t>累計減損—房屋及建築</t>
    <phoneticPr fontId="21" type="noConversion"/>
  </si>
  <si>
    <t>1421</t>
    <phoneticPr fontId="21" type="noConversion"/>
  </si>
  <si>
    <t>機器設備—成本</t>
    <phoneticPr fontId="21" type="noConversion"/>
  </si>
  <si>
    <t>1422</t>
  </si>
  <si>
    <t>累計折舊—機器設備</t>
    <phoneticPr fontId="21" type="noConversion"/>
  </si>
  <si>
    <t>1423</t>
  </si>
  <si>
    <t>累計減損—機器設備</t>
    <phoneticPr fontId="21" type="noConversion"/>
  </si>
  <si>
    <t>1431</t>
    <phoneticPr fontId="21" type="noConversion"/>
  </si>
  <si>
    <t>辦公設備—成本</t>
    <phoneticPr fontId="21" type="noConversion"/>
  </si>
  <si>
    <t>1432</t>
  </si>
  <si>
    <t>累計折舊—辦公設備</t>
    <phoneticPr fontId="21" type="noConversion"/>
  </si>
  <si>
    <t>1433</t>
  </si>
  <si>
    <t>累計減損—辦公設備</t>
    <phoneticPr fontId="21" type="noConversion"/>
  </si>
  <si>
    <t>1441</t>
    <phoneticPr fontId="21" type="noConversion"/>
  </si>
  <si>
    <t>租賃資產—成本</t>
    <phoneticPr fontId="21" type="noConversion"/>
  </si>
  <si>
    <t>1442</t>
  </si>
  <si>
    <t>累計折舊—租賃資產</t>
    <phoneticPr fontId="21" type="noConversion"/>
  </si>
  <si>
    <t>1443</t>
  </si>
  <si>
    <t>累計減損—租賃資產</t>
    <phoneticPr fontId="21" type="noConversion"/>
  </si>
  <si>
    <t>1451</t>
    <phoneticPr fontId="21" type="noConversion"/>
  </si>
  <si>
    <t>出租設備—成本</t>
    <phoneticPr fontId="21" type="noConversion"/>
  </si>
  <si>
    <t>1452</t>
  </si>
  <si>
    <t>累計折舊—出租設備</t>
    <phoneticPr fontId="21" type="noConversion"/>
  </si>
  <si>
    <t>1453</t>
  </si>
  <si>
    <t>累計減損—出租設備</t>
    <phoneticPr fontId="21" type="noConversion"/>
  </si>
  <si>
    <t>1461</t>
    <phoneticPr fontId="21" type="noConversion"/>
  </si>
  <si>
    <t>租賃權益改良—成本</t>
    <phoneticPr fontId="21" type="noConversion"/>
  </si>
  <si>
    <t>1462</t>
  </si>
  <si>
    <t>累計折舊—租賃權益改良</t>
    <phoneticPr fontId="21" type="noConversion"/>
  </si>
  <si>
    <t>1463</t>
  </si>
  <si>
    <t>累計減損—租賃權益改良</t>
    <phoneticPr fontId="21" type="noConversion"/>
  </si>
  <si>
    <t>1464</t>
  </si>
  <si>
    <t>未完工程</t>
    <phoneticPr fontId="21" type="noConversion"/>
  </si>
  <si>
    <t xml:space="preserve">139-146不動產、廠房及設備 </t>
  </si>
  <si>
    <t>139-146</t>
    <phoneticPr fontId="9" type="noConversion"/>
  </si>
  <si>
    <t xml:space="preserve">不動產、廠房及設備 </t>
    <phoneticPr fontId="9" type="noConversion"/>
  </si>
  <si>
    <t>149-155無形資產</t>
  </si>
  <si>
    <t>1491</t>
    <phoneticPr fontId="21" type="noConversion"/>
  </si>
  <si>
    <t>商標權—成本</t>
    <phoneticPr fontId="21" type="noConversion"/>
  </si>
  <si>
    <t>1492</t>
  </si>
  <si>
    <t>商標權—重估增值</t>
    <phoneticPr fontId="21" type="noConversion"/>
  </si>
  <si>
    <t>1493</t>
  </si>
  <si>
    <t>累計攤銷—商標權</t>
    <phoneticPr fontId="21" type="noConversion"/>
  </si>
  <si>
    <t>1494</t>
  </si>
  <si>
    <t>累計減損—商標權</t>
    <phoneticPr fontId="21" type="noConversion"/>
  </si>
  <si>
    <t>1501</t>
    <phoneticPr fontId="21" type="noConversion"/>
  </si>
  <si>
    <t>專利權—成本</t>
    <phoneticPr fontId="21" type="noConversion"/>
  </si>
  <si>
    <t>1502</t>
  </si>
  <si>
    <t>專利權—重估增值</t>
    <phoneticPr fontId="21" type="noConversion"/>
  </si>
  <si>
    <t>1503</t>
  </si>
  <si>
    <t>累計攤銷—專利權</t>
    <phoneticPr fontId="21" type="noConversion"/>
  </si>
  <si>
    <t>1504</t>
  </si>
  <si>
    <t>累計減損—專利權</t>
    <phoneticPr fontId="21" type="noConversion"/>
  </si>
  <si>
    <t>1511</t>
    <phoneticPr fontId="21" type="noConversion"/>
  </si>
  <si>
    <t>特許權—成本</t>
  </si>
  <si>
    <t>1512</t>
  </si>
  <si>
    <t>特許權—重估增值</t>
  </si>
  <si>
    <t>1513</t>
  </si>
  <si>
    <t>累計攤銷—特許權</t>
  </si>
  <si>
    <t>1514</t>
  </si>
  <si>
    <t>累計減損—特許權</t>
  </si>
  <si>
    <t>1521</t>
    <phoneticPr fontId="21" type="noConversion"/>
  </si>
  <si>
    <t>著作權—成本</t>
  </si>
  <si>
    <t>1522</t>
  </si>
  <si>
    <t>著作權—重估增值</t>
  </si>
  <si>
    <t>1523</t>
  </si>
  <si>
    <t>累計攤銷—著作權</t>
  </si>
  <si>
    <t>1524</t>
  </si>
  <si>
    <t>累計減損—著作權</t>
  </si>
  <si>
    <t>1531</t>
    <phoneticPr fontId="21" type="noConversion"/>
  </si>
  <si>
    <t>電腦軟體—成本</t>
  </si>
  <si>
    <t>1532</t>
  </si>
  <si>
    <t>電腦軟體—重估增值</t>
  </si>
  <si>
    <t>1533</t>
  </si>
  <si>
    <t>累計攤銷—電腦軟體</t>
  </si>
  <si>
    <t>1534</t>
  </si>
  <si>
    <t>累計減損—電腦軟體</t>
  </si>
  <si>
    <t>1541</t>
    <phoneticPr fontId="21" type="noConversion"/>
  </si>
  <si>
    <t>商譽—成本</t>
  </si>
  <si>
    <t>1542</t>
  </si>
  <si>
    <t>累計攤銷—商譽</t>
  </si>
  <si>
    <t>1543</t>
  </si>
  <si>
    <t>累計減損—商譽</t>
  </si>
  <si>
    <t>1551</t>
    <phoneticPr fontId="21" type="noConversion"/>
  </si>
  <si>
    <t>其他無形資產—成本</t>
    <phoneticPr fontId="21" type="noConversion"/>
  </si>
  <si>
    <t>1552</t>
  </si>
  <si>
    <t>累計攤銷—其他無形資產</t>
    <phoneticPr fontId="21" type="noConversion"/>
  </si>
  <si>
    <t>1553</t>
  </si>
  <si>
    <t>累計減損—其他無形資產</t>
    <phoneticPr fontId="21" type="noConversion"/>
  </si>
  <si>
    <t xml:space="preserve">149-155無形資產 </t>
  </si>
  <si>
    <t>149-155</t>
    <phoneticPr fontId="9" type="noConversion"/>
  </si>
  <si>
    <t xml:space="preserve">無形資產 </t>
    <phoneticPr fontId="9" type="noConversion"/>
  </si>
  <si>
    <t>156遞延所得稅資產</t>
  </si>
  <si>
    <t>1561</t>
    <phoneticPr fontId="21" type="noConversion"/>
  </si>
  <si>
    <t>遞延所得稅資產</t>
    <phoneticPr fontId="21" type="noConversion"/>
  </si>
  <si>
    <t xml:space="preserve">156遞延所得稅資產 </t>
  </si>
  <si>
    <t>156</t>
  </si>
  <si>
    <t xml:space="preserve">遞延所得稅資產 </t>
    <phoneticPr fontId="9" type="noConversion"/>
  </si>
  <si>
    <t>157-158其他非流動資產</t>
  </si>
  <si>
    <t>1571</t>
    <phoneticPr fontId="21" type="noConversion"/>
  </si>
  <si>
    <t>長期應收票據</t>
    <phoneticPr fontId="21" type="noConversion"/>
  </si>
  <si>
    <t>1572</t>
  </si>
  <si>
    <t>長期應收款</t>
    <phoneticPr fontId="21" type="noConversion"/>
  </si>
  <si>
    <t>1573</t>
  </si>
  <si>
    <t>催收款項</t>
    <phoneticPr fontId="21" type="noConversion"/>
  </si>
  <si>
    <t>1574</t>
  </si>
  <si>
    <t>備抵呆帳—長期應收票據及款項</t>
    <phoneticPr fontId="21" type="noConversion"/>
  </si>
  <si>
    <t>1575</t>
  </si>
  <si>
    <t>備抵呆帳—催收款項</t>
    <phoneticPr fontId="21" type="noConversion"/>
  </si>
  <si>
    <t>1576</t>
  </si>
  <si>
    <t>長期應收票據及款項—關係人</t>
    <phoneticPr fontId="21" type="noConversion"/>
  </si>
  <si>
    <t>1577</t>
  </si>
  <si>
    <t>催收款項—關係人</t>
    <phoneticPr fontId="21" type="noConversion"/>
  </si>
  <si>
    <t>1578</t>
  </si>
  <si>
    <t>長期預付租金</t>
    <phoneticPr fontId="21" type="noConversion"/>
  </si>
  <si>
    <t>1579</t>
  </si>
  <si>
    <t>長期預付保險費</t>
    <phoneticPr fontId="21" type="noConversion"/>
  </si>
  <si>
    <t>1580</t>
  </si>
  <si>
    <t>預付投資款</t>
    <phoneticPr fontId="21" type="noConversion"/>
  </si>
  <si>
    <t>1581</t>
  </si>
  <si>
    <t>預付退休金</t>
    <phoneticPr fontId="21" type="noConversion"/>
  </si>
  <si>
    <t>1582</t>
  </si>
  <si>
    <t>預付設備款</t>
    <phoneticPr fontId="21" type="noConversion"/>
  </si>
  <si>
    <t>1583</t>
  </si>
  <si>
    <t>1584</t>
  </si>
  <si>
    <t>業主(股東)往來</t>
    <phoneticPr fontId="21" type="noConversion"/>
  </si>
  <si>
    <t>1585</t>
  </si>
  <si>
    <t>同業往來</t>
    <phoneticPr fontId="21" type="noConversion"/>
  </si>
  <si>
    <t>1586</t>
  </si>
  <si>
    <t>其他非流動資產—其他</t>
    <phoneticPr fontId="21" type="noConversion"/>
  </si>
  <si>
    <t>1587</t>
  </si>
  <si>
    <t>人壽保險現金解約價值</t>
    <phoneticPr fontId="21" type="noConversion"/>
  </si>
  <si>
    <t xml:space="preserve">157-158其他非流動資產 </t>
  </si>
  <si>
    <t>157-158</t>
    <phoneticPr fontId="9" type="noConversion"/>
  </si>
  <si>
    <t xml:space="preserve">其他非流動資產 </t>
    <phoneticPr fontId="9" type="noConversion"/>
  </si>
  <si>
    <t>總計</t>
  </si>
  <si>
    <t>資產總計</t>
    <phoneticPr fontId="9" type="noConversion"/>
  </si>
  <si>
    <r>
      <rPr>
        <b/>
        <sz val="16"/>
        <rFont val="標楷體"/>
        <family val="4"/>
        <charset val="136"/>
      </rPr>
      <t>牛津會計師事務所</t>
    </r>
    <phoneticPr fontId="9" type="noConversion"/>
  </si>
  <si>
    <t>商 業 會 計 項 目 表—負債及權益</t>
    <phoneticPr fontId="9" type="noConversion"/>
  </si>
  <si>
    <t>(財簽適用)</t>
    <phoneticPr fontId="9" type="noConversion"/>
  </si>
  <si>
    <r>
      <rPr>
        <sz val="12"/>
        <color indexed="8"/>
        <rFont val="標楷體"/>
        <family val="4"/>
        <charset val="136"/>
      </rPr>
      <t>三級
項目</t>
    </r>
    <phoneticPr fontId="9" type="noConversion"/>
  </si>
  <si>
    <r>
      <rPr>
        <sz val="12"/>
        <rFont val="標楷體"/>
        <family val="4"/>
        <charset val="136"/>
      </rPr>
      <t>會計項目名稱</t>
    </r>
    <phoneticPr fontId="9" type="noConversion"/>
  </si>
  <si>
    <r>
      <rPr>
        <sz val="12"/>
        <color indexed="8"/>
        <rFont val="標楷體"/>
        <family val="4"/>
        <charset val="136"/>
      </rPr>
      <t>負債及權益金額</t>
    </r>
    <phoneticPr fontId="21" type="noConversion"/>
  </si>
  <si>
    <r>
      <t>103</t>
    </r>
    <r>
      <rPr>
        <sz val="12"/>
        <color indexed="8"/>
        <rFont val="標楷體"/>
        <family val="4"/>
        <charset val="136"/>
      </rPr>
      <t>年</t>
    </r>
    <phoneticPr fontId="9" type="noConversion"/>
  </si>
  <si>
    <r>
      <rPr>
        <sz val="12"/>
        <color indexed="8"/>
        <rFont val="標楷體"/>
        <family val="4"/>
        <charset val="136"/>
      </rPr>
      <t>增加</t>
    </r>
    <r>
      <rPr>
        <sz val="12"/>
        <color indexed="8"/>
        <rFont val="Book Antiqua"/>
        <family val="1"/>
      </rPr>
      <t>(</t>
    </r>
    <r>
      <rPr>
        <sz val="12"/>
        <color indexed="8"/>
        <rFont val="標楷體"/>
        <family val="4"/>
        <charset val="136"/>
      </rPr>
      <t>減少</t>
    </r>
    <r>
      <rPr>
        <sz val="12"/>
        <color indexed="8"/>
        <rFont val="Book Antiqua"/>
        <family val="1"/>
      </rPr>
      <t>)</t>
    </r>
    <r>
      <rPr>
        <sz val="12"/>
        <color indexed="8"/>
        <rFont val="標楷體"/>
        <family val="4"/>
        <charset val="136"/>
      </rPr>
      <t>數</t>
    </r>
    <phoneticPr fontId="21" type="noConversion"/>
  </si>
  <si>
    <r>
      <t>104</t>
    </r>
    <r>
      <rPr>
        <sz val="12"/>
        <color indexed="8"/>
        <rFont val="標楷體"/>
        <family val="4"/>
        <charset val="136"/>
      </rPr>
      <t>年度</t>
    </r>
    <phoneticPr fontId="9" type="noConversion"/>
  </si>
  <si>
    <t>(1)</t>
    <phoneticPr fontId="9" type="noConversion"/>
  </si>
  <si>
    <t>(2)</t>
    <phoneticPr fontId="21" type="noConversion"/>
  </si>
  <si>
    <t>(1)-(2)</t>
    <phoneticPr fontId="21" type="noConversion"/>
  </si>
  <si>
    <t>(2)-(3)</t>
    <phoneticPr fontId="9" type="noConversion"/>
  </si>
  <si>
    <t>篩選數字</t>
    <phoneticPr fontId="9" type="noConversion"/>
  </si>
  <si>
    <t>負債</t>
    <phoneticPr fontId="21" type="noConversion"/>
  </si>
  <si>
    <t>流動負債</t>
    <phoneticPr fontId="21" type="noConversion"/>
  </si>
  <si>
    <t>211短期借款</t>
  </si>
  <si>
    <t>2111</t>
    <phoneticPr fontId="21" type="noConversion"/>
  </si>
  <si>
    <t>銀行透支</t>
    <phoneticPr fontId="21" type="noConversion"/>
  </si>
  <si>
    <t>2112</t>
  </si>
  <si>
    <t>銀行借款</t>
    <phoneticPr fontId="21" type="noConversion"/>
  </si>
  <si>
    <t>2113</t>
  </si>
  <si>
    <t>短期借款—業主</t>
    <phoneticPr fontId="21" type="noConversion"/>
  </si>
  <si>
    <t>2114</t>
  </si>
  <si>
    <t>短期借款—員工</t>
    <phoneticPr fontId="21" type="noConversion"/>
  </si>
  <si>
    <t>2115</t>
  </si>
  <si>
    <t>短期借款—關係人</t>
    <phoneticPr fontId="21" type="noConversion"/>
  </si>
  <si>
    <t>2116</t>
  </si>
  <si>
    <t>短期借款—其他</t>
    <phoneticPr fontId="21" type="noConversion"/>
  </si>
  <si>
    <t xml:space="preserve">211短期借款 </t>
  </si>
  <si>
    <t>211</t>
    <phoneticPr fontId="9" type="noConversion"/>
  </si>
  <si>
    <t xml:space="preserve">短期借款 </t>
  </si>
  <si>
    <t>212應付短期票券</t>
  </si>
  <si>
    <t>2121</t>
    <phoneticPr fontId="21" type="noConversion"/>
  </si>
  <si>
    <t>應付商業本票</t>
    <phoneticPr fontId="21" type="noConversion"/>
  </si>
  <si>
    <t>2122</t>
  </si>
  <si>
    <t>銀行承兌匯票</t>
    <phoneticPr fontId="21" type="noConversion"/>
  </si>
  <si>
    <t>2123</t>
  </si>
  <si>
    <t>其他應付短期票券</t>
    <phoneticPr fontId="21" type="noConversion"/>
  </si>
  <si>
    <t>2124</t>
  </si>
  <si>
    <t>應付短期票券折價</t>
    <phoneticPr fontId="21" type="noConversion"/>
  </si>
  <si>
    <t xml:space="preserve">212應付短期票券 </t>
  </si>
  <si>
    <t xml:space="preserve">應付短期票券 </t>
  </si>
  <si>
    <t>213透過損益按公允價值衡量之金融負債－流動</t>
  </si>
  <si>
    <t>2131</t>
    <phoneticPr fontId="21" type="noConversion"/>
  </si>
  <si>
    <t>透過損益按公允價值衡量之金融負債－流動</t>
  </si>
  <si>
    <t>2132</t>
    <phoneticPr fontId="21" type="noConversion"/>
  </si>
  <si>
    <t>透過損益按公允價值衡量之金融負債評價調整—流動</t>
  </si>
  <si>
    <t xml:space="preserve">213透過損益按公允價值衡量之金融負債－流動 </t>
  </si>
  <si>
    <t xml:space="preserve">透過損益按公允價值衡量之金融負債－流動 </t>
  </si>
  <si>
    <t>214避險之衍生金融負債—流動</t>
  </si>
  <si>
    <t>2141</t>
    <phoneticPr fontId="21" type="noConversion"/>
  </si>
  <si>
    <t>避險之衍生金融負債—流動</t>
    <phoneticPr fontId="21" type="noConversion"/>
  </si>
  <si>
    <t>2142</t>
  </si>
  <si>
    <t>避險之衍生金融負債評價調整—流動</t>
    <phoneticPr fontId="21" type="noConversion"/>
  </si>
  <si>
    <t xml:space="preserve">214避險之衍生金融負債—流動 </t>
  </si>
  <si>
    <t xml:space="preserve">避險之衍生金融負債—流動 </t>
  </si>
  <si>
    <t>215以成本衡量之金融負債－流動</t>
  </si>
  <si>
    <t>2151</t>
    <phoneticPr fontId="21" type="noConversion"/>
  </si>
  <si>
    <t>以成本衡量之金融負債－流動</t>
  </si>
  <si>
    <t xml:space="preserve">215以成本衡量之金融負債－流動 </t>
  </si>
  <si>
    <t xml:space="preserve">以成本衡量之金融負債－流動 </t>
  </si>
  <si>
    <t>216應付票據</t>
  </si>
  <si>
    <t>2161</t>
    <phoneticPr fontId="21" type="noConversion"/>
  </si>
  <si>
    <t>應付票據</t>
    <phoneticPr fontId="21" type="noConversion"/>
  </si>
  <si>
    <t>2162</t>
  </si>
  <si>
    <t>應付票據—關係人</t>
    <phoneticPr fontId="21" type="noConversion"/>
  </si>
  <si>
    <t>2163</t>
  </si>
  <si>
    <t>其他應付票據</t>
    <phoneticPr fontId="21" type="noConversion"/>
  </si>
  <si>
    <t xml:space="preserve">216應付票據 </t>
  </si>
  <si>
    <t xml:space="preserve">應付票據 </t>
  </si>
  <si>
    <t>217應付帳款</t>
  </si>
  <si>
    <t>2171</t>
    <phoneticPr fontId="21" type="noConversion"/>
  </si>
  <si>
    <t>2172</t>
  </si>
  <si>
    <t>應付租賃款—流動</t>
    <phoneticPr fontId="21" type="noConversion"/>
  </si>
  <si>
    <t>2173</t>
  </si>
  <si>
    <t>應付帳款—關係人</t>
    <phoneticPr fontId="21" type="noConversion"/>
  </si>
  <si>
    <t xml:space="preserve">217應付帳款 </t>
  </si>
  <si>
    <t xml:space="preserve">應付帳款 </t>
  </si>
  <si>
    <r>
      <t xml:space="preserve">218 </t>
    </r>
    <r>
      <rPr>
        <sz val="12"/>
        <color indexed="56"/>
        <rFont val="細明體"/>
        <family val="3"/>
        <charset val="136"/>
      </rPr>
      <t>應付建造合約款</t>
    </r>
    <phoneticPr fontId="9" type="noConversion"/>
  </si>
  <si>
    <t>218</t>
    <phoneticPr fontId="9" type="noConversion"/>
  </si>
  <si>
    <t>應付建造合約款</t>
    <phoneticPr fontId="21" type="noConversion"/>
  </si>
  <si>
    <r>
      <t>218</t>
    </r>
    <r>
      <rPr>
        <b/>
        <sz val="12"/>
        <color indexed="56"/>
        <rFont val="細明體"/>
        <family val="3"/>
        <charset val="136"/>
      </rPr>
      <t>應付建造合約款</t>
    </r>
    <r>
      <rPr>
        <b/>
        <sz val="12"/>
        <color indexed="56"/>
        <rFont val="ˎ̥"/>
        <family val="2"/>
      </rPr>
      <t xml:space="preserve"> </t>
    </r>
    <phoneticPr fontId="9" type="noConversion"/>
  </si>
  <si>
    <t>應付建造合約款</t>
    <phoneticPr fontId="9" type="noConversion"/>
  </si>
  <si>
    <t>219-220其他應付款</t>
  </si>
  <si>
    <t>2191</t>
    <phoneticPr fontId="21" type="noConversion"/>
  </si>
  <si>
    <t>應付薪資</t>
    <phoneticPr fontId="21" type="noConversion"/>
  </si>
  <si>
    <t>2192</t>
  </si>
  <si>
    <t>應付租金</t>
    <phoneticPr fontId="21" type="noConversion"/>
  </si>
  <si>
    <t>2193</t>
  </si>
  <si>
    <t>應付利息</t>
    <phoneticPr fontId="21" type="noConversion"/>
  </si>
  <si>
    <t>2194</t>
  </si>
  <si>
    <t>應付營業稅</t>
    <phoneticPr fontId="21" type="noConversion"/>
  </si>
  <si>
    <t>2195</t>
  </si>
  <si>
    <t>應付稅捐—其他</t>
    <phoneticPr fontId="21" type="noConversion"/>
  </si>
  <si>
    <t>2196</t>
  </si>
  <si>
    <t>應付退休金費用</t>
    <phoneticPr fontId="21" type="noConversion"/>
  </si>
  <si>
    <t>2197</t>
  </si>
  <si>
    <t>其他應付費用</t>
    <phoneticPr fontId="21" type="noConversion"/>
  </si>
  <si>
    <t>2198</t>
  </si>
  <si>
    <t>應付土地房屋款</t>
    <phoneticPr fontId="21" type="noConversion"/>
  </si>
  <si>
    <t>2199</t>
  </si>
  <si>
    <t>應付設備款</t>
    <phoneticPr fontId="21" type="noConversion"/>
  </si>
  <si>
    <t>2200</t>
  </si>
  <si>
    <t>其他應付款—關係人</t>
    <phoneticPr fontId="21" type="noConversion"/>
  </si>
  <si>
    <t>2201</t>
  </si>
  <si>
    <t>應付股利</t>
    <phoneticPr fontId="21" type="noConversion"/>
  </si>
  <si>
    <t>2202</t>
  </si>
  <si>
    <t>應付員工酬勞</t>
    <phoneticPr fontId="21" type="noConversion"/>
  </si>
  <si>
    <t>2203</t>
  </si>
  <si>
    <t>應付董監事酬勞</t>
    <phoneticPr fontId="21" type="noConversion"/>
  </si>
  <si>
    <t>2204</t>
  </si>
  <si>
    <t>銷項稅額</t>
    <phoneticPr fontId="21" type="noConversion"/>
  </si>
  <si>
    <t xml:space="preserve">219-220其他應付款 </t>
  </si>
  <si>
    <t>219-220</t>
    <phoneticPr fontId="9" type="noConversion"/>
  </si>
  <si>
    <t xml:space="preserve">其他應付款 </t>
  </si>
  <si>
    <t>221本期所得稅負債</t>
  </si>
  <si>
    <t>2211</t>
    <phoneticPr fontId="21" type="noConversion"/>
  </si>
  <si>
    <t>本期所得稅負債</t>
    <phoneticPr fontId="21" type="noConversion"/>
  </si>
  <si>
    <t xml:space="preserve">221本期所得稅負債 </t>
  </si>
  <si>
    <t xml:space="preserve">本期所得稅負債 </t>
  </si>
  <si>
    <t>222預收款項</t>
  </si>
  <si>
    <t>2221</t>
    <phoneticPr fontId="21" type="noConversion"/>
  </si>
  <si>
    <t>預收貨款</t>
    <phoneticPr fontId="21" type="noConversion"/>
  </si>
  <si>
    <t>2222</t>
    <phoneticPr fontId="21" type="noConversion"/>
  </si>
  <si>
    <t>預收收入</t>
    <phoneticPr fontId="21" type="noConversion"/>
  </si>
  <si>
    <t>2223</t>
    <phoneticPr fontId="21" type="noConversion"/>
  </si>
  <si>
    <t>其他預收款</t>
    <phoneticPr fontId="21" type="noConversion"/>
  </si>
  <si>
    <t xml:space="preserve">222預收款項 </t>
  </si>
  <si>
    <t xml:space="preserve">預收款項 </t>
  </si>
  <si>
    <t>223一年內到期長期負債</t>
  </si>
  <si>
    <t>2231</t>
    <phoneticPr fontId="21" type="noConversion"/>
  </si>
  <si>
    <t>一年內到期應付公司債</t>
    <phoneticPr fontId="21" type="noConversion"/>
  </si>
  <si>
    <t>2232</t>
  </si>
  <si>
    <t>一年內到期長期借款</t>
    <phoneticPr fontId="21" type="noConversion"/>
  </si>
  <si>
    <t>2233</t>
  </si>
  <si>
    <t>一年內到期長期應付票據及款項</t>
    <phoneticPr fontId="21" type="noConversion"/>
  </si>
  <si>
    <t>2234</t>
  </si>
  <si>
    <t>一年內到期長期應付票據及款項—關係人</t>
    <phoneticPr fontId="21" type="noConversion"/>
  </si>
  <si>
    <t>2235</t>
  </si>
  <si>
    <t>一年內到期其他長期負債</t>
    <phoneticPr fontId="21" type="noConversion"/>
  </si>
  <si>
    <t xml:space="preserve">223一年內到期長期負債 </t>
  </si>
  <si>
    <t xml:space="preserve">一年內到期長期負債 </t>
  </si>
  <si>
    <t>224負債準備—流動</t>
  </si>
  <si>
    <t>2241</t>
    <phoneticPr fontId="21" type="noConversion"/>
  </si>
  <si>
    <t>售後服務—保固負債準備</t>
    <phoneticPr fontId="21" type="noConversion"/>
  </si>
  <si>
    <t>2242</t>
  </si>
  <si>
    <t>虧損性合約之短期負債準備</t>
    <phoneticPr fontId="21" type="noConversion"/>
  </si>
  <si>
    <t>2243</t>
  </si>
  <si>
    <t>除役、復原及修復成本之短期負債準備</t>
    <phoneticPr fontId="21" type="noConversion"/>
  </si>
  <si>
    <t>2244</t>
  </si>
  <si>
    <t>保證合約之短期負債準備</t>
    <phoneticPr fontId="21" type="noConversion"/>
  </si>
  <si>
    <t>2245</t>
  </si>
  <si>
    <t>銷貨退回及折讓之短期負債準備</t>
    <phoneticPr fontId="21" type="noConversion"/>
  </si>
  <si>
    <t xml:space="preserve">224負債準備—流動 </t>
  </si>
  <si>
    <t xml:space="preserve">負債準備—流動 </t>
  </si>
  <si>
    <t>225其他流動負債</t>
  </si>
  <si>
    <t>2251</t>
    <phoneticPr fontId="21" type="noConversion"/>
  </si>
  <si>
    <t>暫收款</t>
    <phoneticPr fontId="21" type="noConversion"/>
  </si>
  <si>
    <t>2252</t>
    <phoneticPr fontId="21" type="noConversion"/>
  </si>
  <si>
    <t>代收款</t>
    <phoneticPr fontId="21" type="noConversion"/>
  </si>
  <si>
    <t xml:space="preserve">225其他流動負債 </t>
  </si>
  <si>
    <t xml:space="preserve">其他流動負債 </t>
  </si>
  <si>
    <t>非流動負債</t>
    <phoneticPr fontId="21" type="noConversion"/>
  </si>
  <si>
    <t>231透過損益按公允價值衡量之金融負債－非流動</t>
  </si>
  <si>
    <t>2311</t>
    <phoneticPr fontId="21" type="noConversion"/>
  </si>
  <si>
    <t>透過損益按公允價值衡量之金融負債－非流動</t>
    <phoneticPr fontId="21" type="noConversion"/>
  </si>
  <si>
    <t>2312</t>
    <phoneticPr fontId="21" type="noConversion"/>
  </si>
  <si>
    <t>透過損益按公允價值衡量之金融負債評價調整—非流動</t>
    <phoneticPr fontId="21" type="noConversion"/>
  </si>
  <si>
    <t xml:space="preserve">231透過損益按公允價值衡量之金融負債－非流動 </t>
  </si>
  <si>
    <t xml:space="preserve">透過損益按公允價值衡量之金融負債－非流動 </t>
  </si>
  <si>
    <t>232避險之衍生金融負債—非流動</t>
  </si>
  <si>
    <t>2321</t>
    <phoneticPr fontId="21" type="noConversion"/>
  </si>
  <si>
    <t>避險之衍生金融負債—非流動</t>
    <phoneticPr fontId="21" type="noConversion"/>
  </si>
  <si>
    <t>2322</t>
    <phoneticPr fontId="21" type="noConversion"/>
  </si>
  <si>
    <t>避險之衍生金融負債評價調整—非流動</t>
    <phoneticPr fontId="21" type="noConversion"/>
  </si>
  <si>
    <t xml:space="preserve">232避險之衍生金融負債—非流動 </t>
  </si>
  <si>
    <t xml:space="preserve">避險之衍生金融負債—非流動 </t>
  </si>
  <si>
    <t>233以成本衡量之金融負債－非流動</t>
  </si>
  <si>
    <t>2331</t>
    <phoneticPr fontId="21" type="noConversion"/>
  </si>
  <si>
    <t>以成本衡量之金融負債－非流動</t>
    <phoneticPr fontId="21" type="noConversion"/>
  </si>
  <si>
    <t xml:space="preserve">233以成本衡量之金融負債－非流動 </t>
  </si>
  <si>
    <t xml:space="preserve">以成本衡量之金融負債－非流動 </t>
  </si>
  <si>
    <t>234應付公司債</t>
  </si>
  <si>
    <t>2341</t>
    <phoneticPr fontId="21" type="noConversion"/>
  </si>
  <si>
    <t>應付公司債</t>
    <phoneticPr fontId="21" type="noConversion"/>
  </si>
  <si>
    <t>2342</t>
    <phoneticPr fontId="21" type="noConversion"/>
  </si>
  <si>
    <t>應付公司債溢(折)價</t>
    <phoneticPr fontId="21" type="noConversion"/>
  </si>
  <si>
    <t xml:space="preserve">234應付公司債 </t>
  </si>
  <si>
    <t xml:space="preserve">應付公司債 </t>
  </si>
  <si>
    <t>235長期借款</t>
  </si>
  <si>
    <t>2351</t>
    <phoneticPr fontId="21" type="noConversion"/>
  </si>
  <si>
    <t>長期銀行借款</t>
    <phoneticPr fontId="21" type="noConversion"/>
  </si>
  <si>
    <t>2352</t>
  </si>
  <si>
    <t>長期借款—業主</t>
    <phoneticPr fontId="21" type="noConversion"/>
  </si>
  <si>
    <t>2353</t>
  </si>
  <si>
    <t>長期借款—員工</t>
    <phoneticPr fontId="21" type="noConversion"/>
  </si>
  <si>
    <t>2354</t>
  </si>
  <si>
    <t>長期借款—關係人</t>
    <phoneticPr fontId="21" type="noConversion"/>
  </si>
  <si>
    <t>2355</t>
  </si>
  <si>
    <t>長期借款—其他</t>
    <phoneticPr fontId="21" type="noConversion"/>
  </si>
  <si>
    <t xml:space="preserve">235長期借款 </t>
  </si>
  <si>
    <t xml:space="preserve">長期借款 </t>
  </si>
  <si>
    <t>236長期應付票據及款項</t>
  </si>
  <si>
    <t>2361</t>
    <phoneticPr fontId="21" type="noConversion"/>
  </si>
  <si>
    <t>長期應付票據</t>
    <phoneticPr fontId="21" type="noConversion"/>
  </si>
  <si>
    <t>2362</t>
  </si>
  <si>
    <t>長期應付帳款</t>
    <phoneticPr fontId="21" type="noConversion"/>
  </si>
  <si>
    <t>2363</t>
  </si>
  <si>
    <t>長期租賃款-非流動</t>
    <phoneticPr fontId="21" type="noConversion"/>
  </si>
  <si>
    <t>2364</t>
  </si>
  <si>
    <t>長期應付票據及款項—關係人</t>
    <phoneticPr fontId="21" type="noConversion"/>
  </si>
  <si>
    <t>2365</t>
  </si>
  <si>
    <t>其他長期應付款項</t>
    <phoneticPr fontId="21" type="noConversion"/>
  </si>
  <si>
    <t xml:space="preserve">236長期應付票據及款項 </t>
  </si>
  <si>
    <t xml:space="preserve">長期應付票據及款項 </t>
  </si>
  <si>
    <t>237負債準備—非流動</t>
  </si>
  <si>
    <t>2371</t>
    <phoneticPr fontId="21" type="noConversion"/>
  </si>
  <si>
    <t>虧損性合約之長期負債準備</t>
    <phoneticPr fontId="21" type="noConversion"/>
  </si>
  <si>
    <t>2372</t>
  </si>
  <si>
    <t>除役、復原及修復成本之長期負債準備</t>
    <phoneticPr fontId="21" type="noConversion"/>
  </si>
  <si>
    <t>2373</t>
  </si>
  <si>
    <t>保證合約之長期負債準備</t>
    <phoneticPr fontId="21" type="noConversion"/>
  </si>
  <si>
    <t xml:space="preserve">237負債準備—非流動 </t>
  </si>
  <si>
    <t xml:space="preserve">負債準備—非流動 </t>
  </si>
  <si>
    <t>238遞延所得稅負債</t>
  </si>
  <si>
    <t>2381</t>
    <phoneticPr fontId="21" type="noConversion"/>
  </si>
  <si>
    <t>遞延所得稅負債—土地增值稅</t>
    <phoneticPr fontId="21" type="noConversion"/>
  </si>
  <si>
    <t>2382</t>
    <phoneticPr fontId="21" type="noConversion"/>
  </si>
  <si>
    <t>遞延所得稅負債—所得稅</t>
    <phoneticPr fontId="21" type="noConversion"/>
  </si>
  <si>
    <t xml:space="preserve">238遞延所得稅負債 </t>
  </si>
  <si>
    <t xml:space="preserve">遞延所得稅負債 </t>
  </si>
  <si>
    <t>239其他非流動負債</t>
  </si>
  <si>
    <t>2391</t>
    <phoneticPr fontId="21" type="noConversion"/>
  </si>
  <si>
    <t>遞延收入</t>
    <phoneticPr fontId="21" type="noConversion"/>
  </si>
  <si>
    <t>2392</t>
  </si>
  <si>
    <t>存入保證金</t>
    <phoneticPr fontId="21" type="noConversion"/>
  </si>
  <si>
    <t>2393</t>
  </si>
  <si>
    <t>2394</t>
  </si>
  <si>
    <t xml:space="preserve">239其他非流動負債 </t>
  </si>
  <si>
    <t xml:space="preserve">其他非流動負債 </t>
  </si>
  <si>
    <t>權益</t>
    <phoneticPr fontId="21" type="noConversion"/>
  </si>
  <si>
    <t>311資本(或股本)</t>
  </si>
  <si>
    <t>3111</t>
    <phoneticPr fontId="21" type="noConversion"/>
  </si>
  <si>
    <t>普通股股本</t>
    <phoneticPr fontId="21" type="noConversion"/>
  </si>
  <si>
    <t>3112</t>
    <phoneticPr fontId="21" type="noConversion"/>
  </si>
  <si>
    <t>特別股股本</t>
    <phoneticPr fontId="21" type="noConversion"/>
  </si>
  <si>
    <t>3113</t>
    <phoneticPr fontId="21" type="noConversion"/>
  </si>
  <si>
    <t>預收股本</t>
    <phoneticPr fontId="21" type="noConversion"/>
  </si>
  <si>
    <t>3114</t>
    <phoneticPr fontId="21" type="noConversion"/>
  </si>
  <si>
    <t>待分配股票股利</t>
    <phoneticPr fontId="21" type="noConversion"/>
  </si>
  <si>
    <t xml:space="preserve">311資本(或股本) </t>
  </si>
  <si>
    <t xml:space="preserve">資本(或股本) </t>
  </si>
  <si>
    <t>321資本公積</t>
  </si>
  <si>
    <t>資本公積</t>
    <phoneticPr fontId="21" type="noConversion"/>
  </si>
  <si>
    <t>3211</t>
    <phoneticPr fontId="21" type="noConversion"/>
  </si>
  <si>
    <t>資本公積—普通股股票溢價</t>
    <phoneticPr fontId="21" type="noConversion"/>
  </si>
  <si>
    <t>3212</t>
    <phoneticPr fontId="21" type="noConversion"/>
  </si>
  <si>
    <t>資本公積—特別股股票溢價</t>
    <phoneticPr fontId="21" type="noConversion"/>
  </si>
  <si>
    <t>3213</t>
    <phoneticPr fontId="21" type="noConversion"/>
  </si>
  <si>
    <t>資本公積—庫藏股票交易</t>
    <phoneticPr fontId="21" type="noConversion"/>
  </si>
  <si>
    <t>3214</t>
    <phoneticPr fontId="21" type="noConversion"/>
  </si>
  <si>
    <t>資本公積—員工認股權</t>
    <phoneticPr fontId="21" type="noConversion"/>
  </si>
  <si>
    <t>3215</t>
  </si>
  <si>
    <t>資本公積—受贈資產</t>
    <phoneticPr fontId="21" type="noConversion"/>
  </si>
  <si>
    <t>3216</t>
  </si>
  <si>
    <t>資本公積—採用權益法認列之投資股權淨值變動數</t>
    <phoneticPr fontId="21" type="noConversion"/>
  </si>
  <si>
    <t>3217</t>
  </si>
  <si>
    <t>資本公積-實際取得或處分子公司股權價格與帳面價值差額</t>
    <phoneticPr fontId="21" type="noConversion"/>
  </si>
  <si>
    <t>保留盈餘(或累積虧損)</t>
    <phoneticPr fontId="21" type="noConversion"/>
  </si>
  <si>
    <t xml:space="preserve">321資本公積 </t>
  </si>
  <si>
    <t xml:space="preserve">資本公積 </t>
  </si>
  <si>
    <t>331法定盈餘公積</t>
  </si>
  <si>
    <t>3311</t>
    <phoneticPr fontId="21" type="noConversion"/>
  </si>
  <si>
    <t>法定盈餘公積</t>
    <phoneticPr fontId="21" type="noConversion"/>
  </si>
  <si>
    <t xml:space="preserve">331法定盈餘公積 </t>
  </si>
  <si>
    <t xml:space="preserve">法定盈餘公積 </t>
  </si>
  <si>
    <t>332特別盈餘公積</t>
  </si>
  <si>
    <t>3321</t>
    <phoneticPr fontId="21" type="noConversion"/>
  </si>
  <si>
    <t>特別盈餘公積</t>
    <phoneticPr fontId="21" type="noConversion"/>
  </si>
  <si>
    <t xml:space="preserve">332特別盈餘公積 </t>
  </si>
  <si>
    <t xml:space="preserve">特別盈餘公積 </t>
  </si>
  <si>
    <t>335未分配盈餘(或待彌補虧損)</t>
  </si>
  <si>
    <t>3351</t>
    <phoneticPr fontId="21" type="noConversion"/>
  </si>
  <si>
    <t>累積盈虧</t>
    <phoneticPr fontId="21" type="noConversion"/>
  </si>
  <si>
    <t>3352</t>
  </si>
  <si>
    <t>追溯適用及追溯重編之影響數</t>
    <phoneticPr fontId="21" type="noConversion"/>
  </si>
  <si>
    <t>3353</t>
  </si>
  <si>
    <t>本期損益</t>
    <phoneticPr fontId="21" type="noConversion"/>
  </si>
  <si>
    <t xml:space="preserve">335未分配盈餘(或待彌補虧損) </t>
  </si>
  <si>
    <t xml:space="preserve">未分配盈餘(或待彌補虧損) </t>
  </si>
  <si>
    <t>341其他權益</t>
  </si>
  <si>
    <t>3411</t>
    <phoneticPr fontId="21" type="noConversion"/>
  </si>
  <si>
    <t>3412</t>
  </si>
  <si>
    <t>現金流量避險中屬有效避險部分之避險工具損益</t>
    <phoneticPr fontId="21" type="noConversion"/>
  </si>
  <si>
    <t>3413</t>
  </si>
  <si>
    <t>3414</t>
  </si>
  <si>
    <t xml:space="preserve">341其他權益 </t>
  </si>
  <si>
    <t xml:space="preserve">其他權益 </t>
  </si>
  <si>
    <t>負債及權益總計</t>
    <phoneticPr fontId="9" type="noConversion"/>
  </si>
  <si>
    <t>公司</t>
    <phoneticPr fontId="9" type="noConversion"/>
  </si>
  <si>
    <t>折舊</t>
    <phoneticPr fontId="2" type="noConversion"/>
  </si>
  <si>
    <r>
      <t>負責人：　　　　　</t>
    </r>
    <r>
      <rPr>
        <b/>
        <sz val="12"/>
        <rFont val="Times New Roman"/>
        <family val="1"/>
      </rPr>
      <t xml:space="preserve">     </t>
    </r>
    <r>
      <rPr>
        <b/>
        <sz val="12"/>
        <rFont val="標楷體"/>
        <family val="4"/>
        <charset val="136"/>
      </rPr>
      <t>　　</t>
    </r>
    <r>
      <rPr>
        <b/>
        <sz val="12"/>
        <rFont val="Times New Roman"/>
        <family val="1"/>
      </rPr>
      <t xml:space="preserve">         </t>
    </r>
    <r>
      <rPr>
        <b/>
        <sz val="12"/>
        <rFont val="標楷體"/>
        <family val="4"/>
        <charset val="136"/>
      </rPr>
      <t>　</t>
    </r>
    <r>
      <rPr>
        <b/>
        <sz val="12"/>
        <rFont val="Times New Roman"/>
        <family val="1"/>
      </rPr>
      <t xml:space="preserve">   </t>
    </r>
    <r>
      <rPr>
        <b/>
        <sz val="12"/>
        <rFont val="標楷體"/>
        <family val="4"/>
        <charset val="136"/>
      </rPr>
      <t>經理人：　　　　　</t>
    </r>
    <r>
      <rPr>
        <b/>
        <sz val="12"/>
        <rFont val="Times New Roman"/>
        <family val="1"/>
      </rPr>
      <t xml:space="preserve">  </t>
    </r>
    <r>
      <rPr>
        <b/>
        <sz val="12"/>
        <rFont val="標楷體"/>
        <family val="4"/>
        <charset val="136"/>
      </rPr>
      <t>　　　　主辦會計：</t>
    </r>
    <phoneticPr fontId="2" type="noConversion"/>
  </si>
  <si>
    <r>
      <t>資　　　　　　產</t>
    </r>
    <r>
      <rPr>
        <b/>
        <sz val="12"/>
        <rFont val="標楷體"/>
        <family val="4"/>
        <charset val="136"/>
      </rPr>
      <t xml:space="preserve"> </t>
    </r>
    <phoneticPr fontId="2" type="noConversion"/>
  </si>
  <si>
    <t>現金及約當現金(附註四(一))</t>
    <phoneticPr fontId="2" type="noConversion"/>
  </si>
  <si>
    <t>應收票據(附註四(二))</t>
    <phoneticPr fontId="2" type="noConversion"/>
  </si>
  <si>
    <t>應收帳款(附註四(三))</t>
    <phoneticPr fontId="2" type="noConversion"/>
  </si>
  <si>
    <t>流動資產合計</t>
    <phoneticPr fontId="2" type="noConversion"/>
  </si>
  <si>
    <t>非流動資產</t>
    <phoneticPr fontId="2" type="noConversion"/>
  </si>
  <si>
    <t>非流動資產合計</t>
    <phoneticPr fontId="2" type="noConversion"/>
  </si>
  <si>
    <t>資　產　總　計</t>
  </si>
  <si>
    <r>
      <t>負  債  及  權  益</t>
    </r>
    <r>
      <rPr>
        <b/>
        <sz val="12"/>
        <rFont val="標楷體"/>
        <family val="4"/>
        <charset val="136"/>
      </rPr>
      <t xml:space="preserve"> </t>
    </r>
    <phoneticPr fontId="2" type="noConversion"/>
  </si>
  <si>
    <t>流動負債合計</t>
    <phoneticPr fontId="2" type="noConversion"/>
  </si>
  <si>
    <t>非流動負債</t>
    <phoneticPr fontId="2" type="noConversion"/>
  </si>
  <si>
    <t>權　　益</t>
    <phoneticPr fontId="2" type="noConversion"/>
  </si>
  <si>
    <t>負債及權益總計</t>
    <phoneticPr fontId="2" type="noConversion"/>
  </si>
  <si>
    <t>資  產  負  債  表</t>
    <phoneticPr fontId="2" type="noConversion"/>
  </si>
  <si>
    <t>綜 合 損 益 表</t>
    <phoneticPr fontId="2" type="noConversion"/>
  </si>
  <si>
    <t>項目</t>
    <phoneticPr fontId="2" type="noConversion"/>
  </si>
  <si>
    <t>營業費用</t>
    <phoneticPr fontId="2" type="noConversion"/>
  </si>
  <si>
    <t>營業外收益及費損</t>
    <phoneticPr fontId="2" type="noConversion"/>
  </si>
  <si>
    <t>利息收入</t>
    <phoneticPr fontId="2" type="noConversion"/>
  </si>
  <si>
    <t>租金收入</t>
    <phoneticPr fontId="2" type="noConversion"/>
  </si>
  <si>
    <t>股利收入</t>
    <phoneticPr fontId="2" type="noConversion"/>
  </si>
  <si>
    <t>利息費用</t>
    <phoneticPr fontId="2" type="noConversion"/>
  </si>
  <si>
    <t>採用權益法認列之投資損益</t>
    <phoneticPr fontId="2" type="noConversion"/>
  </si>
  <si>
    <t>處分投資損益</t>
    <phoneticPr fontId="2" type="noConversion"/>
  </si>
  <si>
    <t>處分不動產、廠房及設備損益</t>
    <phoneticPr fontId="2" type="noConversion"/>
  </si>
  <si>
    <t>其他營業外收益及費損</t>
    <phoneticPr fontId="2" type="noConversion"/>
  </si>
  <si>
    <t>營業外收益及費損合計</t>
    <phoneticPr fontId="2" type="noConversion"/>
  </si>
  <si>
    <t>負 責 人：</t>
    <phoneticPr fontId="2" type="noConversion"/>
  </si>
  <si>
    <t>(請參閱後附財務報表附註)</t>
    <phoneticPr fontId="2" type="noConversion"/>
  </si>
  <si>
    <t>(未經查核)</t>
  </si>
  <si>
    <t>%</t>
  </si>
  <si>
    <t xml:space="preserve">  　</t>
  </si>
  <si>
    <t>盈餘指撥及分配</t>
    <phoneticPr fontId="2" type="noConversion"/>
  </si>
  <si>
    <t>現金股利</t>
    <phoneticPr fontId="2" type="noConversion"/>
  </si>
  <si>
    <t>支付所得稅</t>
    <phoneticPr fontId="9" type="noConversion"/>
  </si>
  <si>
    <t>暫繳</t>
    <phoneticPr fontId="9" type="noConversion"/>
  </si>
  <si>
    <t>未分配</t>
    <phoneticPr fontId="9" type="noConversion"/>
  </si>
  <si>
    <r>
      <rPr>
        <b/>
        <sz val="12"/>
        <rFont val="標楷體"/>
        <family val="4"/>
        <charset val="136"/>
      </rPr>
      <t>負</t>
    </r>
    <r>
      <rPr>
        <b/>
        <sz val="12"/>
        <rFont val="Book Antiqua"/>
        <family val="1"/>
      </rPr>
      <t xml:space="preserve"> </t>
    </r>
    <r>
      <rPr>
        <b/>
        <sz val="12"/>
        <rFont val="標楷體"/>
        <family val="4"/>
        <charset val="136"/>
      </rPr>
      <t>責</t>
    </r>
    <r>
      <rPr>
        <b/>
        <sz val="12"/>
        <rFont val="Book Antiqua"/>
        <family val="1"/>
      </rPr>
      <t xml:space="preserve"> </t>
    </r>
    <r>
      <rPr>
        <b/>
        <sz val="12"/>
        <rFont val="標楷體"/>
        <family val="4"/>
        <charset val="136"/>
      </rPr>
      <t>人：　　　　　　　</t>
    </r>
    <r>
      <rPr>
        <b/>
        <sz val="12"/>
        <rFont val="Book Antiqua"/>
        <family val="4"/>
      </rPr>
      <t xml:space="preserve"> </t>
    </r>
    <r>
      <rPr>
        <b/>
        <sz val="12"/>
        <rFont val="標楷體"/>
        <family val="4"/>
        <charset val="136"/>
      </rPr>
      <t xml:space="preserve">   　   　經</t>
    </r>
    <r>
      <rPr>
        <b/>
        <sz val="12"/>
        <rFont val="Book Antiqua"/>
        <family val="1"/>
      </rPr>
      <t xml:space="preserve"> </t>
    </r>
    <r>
      <rPr>
        <b/>
        <sz val="12"/>
        <rFont val="標楷體"/>
        <family val="4"/>
        <charset val="136"/>
      </rPr>
      <t>理</t>
    </r>
    <r>
      <rPr>
        <b/>
        <sz val="12"/>
        <rFont val="Book Antiqua"/>
        <family val="1"/>
      </rPr>
      <t xml:space="preserve"> </t>
    </r>
    <r>
      <rPr>
        <b/>
        <sz val="12"/>
        <rFont val="標楷體"/>
        <family val="4"/>
        <charset val="136"/>
      </rPr>
      <t>人：　　　　  　　　　　主辦會計</t>
    </r>
    <r>
      <rPr>
        <b/>
        <sz val="12"/>
        <rFont val="新細明體"/>
        <family val="4"/>
        <charset val="136"/>
      </rPr>
      <t>：</t>
    </r>
    <phoneticPr fontId="2" type="noConversion"/>
  </si>
  <si>
    <t>鍍威精密股份有限公司</t>
    <phoneticPr fontId="2" type="noConversion"/>
  </si>
  <si>
    <t>一一二年十二月三十一日</t>
    <phoneticPr fontId="2" type="noConversion"/>
  </si>
  <si>
    <t xml:space="preserve"> 非流動負債合計</t>
    <phoneticPr fontId="2" type="noConversion"/>
  </si>
  <si>
    <t>一一二年度</t>
    <phoneticPr fontId="2" type="noConversion"/>
  </si>
  <si>
    <t>一一二年一月一日餘額</t>
    <phoneticPr fontId="2" type="noConversion"/>
  </si>
  <si>
    <t>一一二年十二月三十一日餘額</t>
    <phoneticPr fontId="2" type="noConversion"/>
  </si>
  <si>
    <r>
      <rPr>
        <b/>
        <sz val="12"/>
        <rFont val="標楷體"/>
        <family val="4"/>
        <charset val="136"/>
      </rPr>
      <t>未分配盈餘</t>
    </r>
    <r>
      <rPr>
        <b/>
        <sz val="12"/>
        <rFont val="Book Antiqua"/>
        <family val="1"/>
      </rPr>
      <t/>
    </r>
    <phoneticPr fontId="2" type="noConversion"/>
  </si>
  <si>
    <r>
      <t>(</t>
    </r>
    <r>
      <rPr>
        <b/>
        <sz val="12"/>
        <rFont val="標楷體"/>
        <family val="4"/>
        <charset val="136"/>
      </rPr>
      <t>請參閱後附財務報表附註</t>
    </r>
    <r>
      <rPr>
        <b/>
        <sz val="12"/>
        <rFont val="Bppl"/>
        <family val="2"/>
      </rPr>
      <t>)</t>
    </r>
    <phoneticPr fontId="2" type="noConversion"/>
  </si>
  <si>
    <t>期初應付費用</t>
    <phoneticPr fontId="9" type="noConversion"/>
  </si>
  <si>
    <t>期末應付費用</t>
    <phoneticPr fontId="9" type="noConversion"/>
  </si>
  <si>
    <t>應付費用付現數</t>
    <phoneticPr fontId="9" type="noConversion"/>
  </si>
  <si>
    <t>A</t>
    <phoneticPr fontId="9" type="noConversion"/>
  </si>
  <si>
    <t>期初應付利息</t>
    <phoneticPr fontId="9" type="noConversion"/>
  </si>
  <si>
    <t>本期利息費用</t>
    <phoneticPr fontId="9" type="noConversion"/>
  </si>
  <si>
    <t>D</t>
    <phoneticPr fontId="9" type="noConversion"/>
  </si>
  <si>
    <t>期末應付利息</t>
    <phoneticPr fontId="9" type="noConversion"/>
  </si>
  <si>
    <t>利息付現數</t>
    <phoneticPr fontId="9" type="noConversion"/>
  </si>
  <si>
    <t>E</t>
    <phoneticPr fontId="9" type="noConversion"/>
  </si>
  <si>
    <t>期初應付所得稅</t>
  </si>
  <si>
    <t>期初應退所得稅</t>
    <phoneticPr fontId="9" type="noConversion"/>
  </si>
  <si>
    <t>期初遞延所得稅負債</t>
  </si>
  <si>
    <t>本期所得稅費用</t>
  </si>
  <si>
    <t>B</t>
    <phoneticPr fontId="9" type="noConversion"/>
  </si>
  <si>
    <t>補稅</t>
    <phoneticPr fontId="9" type="noConversion"/>
  </si>
  <si>
    <t>期末應付所得稅</t>
  </si>
  <si>
    <t>108營所</t>
    <phoneticPr fontId="9" type="noConversion"/>
  </si>
  <si>
    <t>期末應退所得稅</t>
    <phoneticPr fontId="9" type="noConversion"/>
  </si>
  <si>
    <t>本期支付所得稅</t>
  </si>
  <si>
    <t>C</t>
    <phoneticPr fontId="9" type="noConversion"/>
  </si>
  <si>
    <t>收到所得稅</t>
    <phoneticPr fontId="9" type="noConversion"/>
  </si>
  <si>
    <t>淨支付</t>
    <phoneticPr fontId="9" type="noConversion"/>
  </si>
  <si>
    <t>期初其他應付款</t>
  </si>
  <si>
    <t>期初應付利息</t>
  </si>
  <si>
    <t>期初小計</t>
  </si>
  <si>
    <t>期末其他應付款</t>
  </si>
  <si>
    <t>期末應付利息</t>
  </si>
  <si>
    <t>期末小計</t>
  </si>
  <si>
    <t>本期變動數</t>
  </si>
  <si>
    <t>期初其他流動資產</t>
  </si>
  <si>
    <t>期初應收利息</t>
  </si>
  <si>
    <t>期末其他流動資產</t>
  </si>
  <si>
    <t>期末應收利息</t>
  </si>
  <si>
    <t>期初無形資產</t>
    <phoneticPr fontId="9" type="noConversion"/>
  </si>
  <si>
    <t>預付未攤銷費用重分類</t>
    <phoneticPr fontId="9" type="noConversion"/>
  </si>
  <si>
    <t>本期增添</t>
    <phoneticPr fontId="9" type="noConversion"/>
  </si>
  <si>
    <t>利息資本化</t>
    <phoneticPr fontId="9" type="noConversion"/>
  </si>
  <si>
    <t>攤提費用</t>
    <phoneticPr fontId="9" type="noConversion"/>
  </si>
  <si>
    <t>期末無形資產</t>
    <phoneticPr fontId="9" type="noConversion"/>
  </si>
  <si>
    <t>期初固定資產</t>
    <phoneticPr fontId="9" type="noConversion"/>
  </si>
  <si>
    <t>購置固定資產</t>
    <phoneticPr fontId="9" type="noConversion"/>
  </si>
  <si>
    <t>F</t>
    <phoneticPr fontId="9" type="noConversion"/>
  </si>
  <si>
    <t>重分類</t>
    <phoneticPr fontId="9" type="noConversion"/>
  </si>
  <si>
    <t>出售價款</t>
    <phoneticPr fontId="9" type="noConversion"/>
  </si>
  <si>
    <t>折舊費用</t>
    <phoneticPr fontId="9" type="noConversion"/>
  </si>
  <si>
    <t>G</t>
    <phoneticPr fontId="9" type="noConversion"/>
  </si>
  <si>
    <t>處分固定資產利益</t>
    <phoneticPr fontId="9" type="noConversion"/>
  </si>
  <si>
    <t>處分固定資產損失</t>
    <phoneticPr fontId="9" type="noConversion"/>
  </si>
  <si>
    <t>期末固定資產</t>
    <phoneticPr fontId="9" type="noConversion"/>
  </si>
  <si>
    <t>期初未攤銷費用</t>
    <phoneticPr fontId="9" type="noConversion"/>
  </si>
  <si>
    <t>本期新增</t>
    <phoneticPr fontId="9" type="noConversion"/>
  </si>
  <si>
    <t>H</t>
    <phoneticPr fontId="9" type="noConversion"/>
  </si>
  <si>
    <t>攤銷費用</t>
    <phoneticPr fontId="9" type="noConversion"/>
  </si>
  <si>
    <t>I</t>
    <phoneticPr fontId="9" type="noConversion"/>
  </si>
  <si>
    <t>期末未攤銷費用</t>
    <phoneticPr fontId="9" type="noConversion"/>
  </si>
  <si>
    <t>期初存出保證金</t>
    <phoneticPr fontId="9" type="noConversion"/>
  </si>
  <si>
    <t>J</t>
    <phoneticPr fontId="9" type="noConversion"/>
  </si>
  <si>
    <t>本期減少</t>
    <phoneticPr fontId="9" type="noConversion"/>
  </si>
  <si>
    <t>K</t>
    <phoneticPr fontId="9" type="noConversion"/>
  </si>
  <si>
    <t>期末存出保證金</t>
    <phoneticPr fontId="9" type="noConversion"/>
  </si>
  <si>
    <t>期初其他非流動資產</t>
  </si>
  <si>
    <t>期初預付設備款</t>
  </si>
  <si>
    <t>期末其他非流動資產</t>
  </si>
  <si>
    <t>期末預付設備款</t>
  </si>
  <si>
    <t>112年度</t>
    <phoneticPr fontId="9" type="noConversion"/>
  </si>
  <si>
    <r>
      <rPr>
        <b/>
        <sz val="10"/>
        <rFont val="標楷體"/>
        <family val="4"/>
        <charset val="136"/>
      </rPr>
      <t>期初無形資產</t>
    </r>
  </si>
  <si>
    <r>
      <rPr>
        <sz val="10"/>
        <rFont val="標楷體"/>
        <family val="4"/>
        <charset val="136"/>
      </rPr>
      <t>本期增添</t>
    </r>
  </si>
  <si>
    <r>
      <rPr>
        <sz val="10"/>
        <rFont val="標楷體"/>
        <family val="4"/>
        <charset val="136"/>
      </rPr>
      <t>攤提費用</t>
    </r>
  </si>
  <si>
    <r>
      <rPr>
        <b/>
        <sz val="10"/>
        <rFont val="標楷體"/>
        <family val="4"/>
        <charset val="136"/>
      </rPr>
      <t>期末無形資產</t>
    </r>
  </si>
  <si>
    <t>b1.</t>
  </si>
  <si>
    <t>土　　　地</t>
  </si>
  <si>
    <t>運輸設備</t>
  </si>
  <si>
    <t>合　　　計</t>
  </si>
  <si>
    <r>
      <t>成　　本</t>
    </r>
    <r>
      <rPr>
        <b/>
        <u/>
        <sz val="11"/>
        <rFont val="Times New Roman"/>
        <family val="1"/>
      </rPr>
      <t xml:space="preserve"> </t>
    </r>
  </si>
  <si>
    <r>
      <t>增　　添</t>
    </r>
    <r>
      <rPr>
        <b/>
        <sz val="11"/>
        <rFont val="Times New Roman"/>
        <family val="1"/>
      </rPr>
      <t xml:space="preserve"> </t>
    </r>
  </si>
  <si>
    <t>處　　分</t>
  </si>
  <si>
    <t>重分類</t>
  </si>
  <si>
    <t>累計折舊</t>
  </si>
  <si>
    <t>折　　舊</t>
  </si>
  <si>
    <r>
      <t>帳面價值</t>
    </r>
    <r>
      <rPr>
        <b/>
        <u/>
        <sz val="11"/>
        <rFont val="Times New Roman"/>
        <family val="1"/>
      </rPr>
      <t xml:space="preserve"> </t>
    </r>
  </si>
  <si>
    <r>
      <t>112</t>
    </r>
    <r>
      <rPr>
        <b/>
        <sz val="11"/>
        <rFont val="標楷體"/>
        <family val="4"/>
        <charset val="136"/>
      </rPr>
      <t>年</t>
    </r>
    <r>
      <rPr>
        <b/>
        <sz val="11"/>
        <rFont val="Times New Roman"/>
        <family val="1"/>
      </rPr>
      <t>12</t>
    </r>
    <r>
      <rPr>
        <b/>
        <sz val="11"/>
        <rFont val="標楷體"/>
        <family val="4"/>
        <charset val="136"/>
      </rPr>
      <t>月</t>
    </r>
    <r>
      <rPr>
        <b/>
        <sz val="11"/>
        <rFont val="Times New Roman"/>
        <family val="1"/>
      </rPr>
      <t>31</t>
    </r>
    <r>
      <rPr>
        <b/>
        <sz val="11"/>
        <rFont val="標楷體"/>
        <family val="4"/>
        <charset val="136"/>
      </rPr>
      <t>日</t>
    </r>
    <phoneticPr fontId="9" type="noConversion"/>
  </si>
  <si>
    <t>辦公設備</t>
    <phoneticPr fontId="9" type="noConversion"/>
  </si>
  <si>
    <t>機器設備</t>
    <phoneticPr fontId="9" type="noConversion"/>
  </si>
  <si>
    <r>
      <t>112</t>
    </r>
    <r>
      <rPr>
        <b/>
        <sz val="10"/>
        <rFont val="細明體"/>
        <family val="3"/>
        <charset val="136"/>
      </rPr>
      <t>年度</t>
    </r>
    <phoneticPr fontId="9" type="noConversion"/>
  </si>
  <si>
    <r>
      <t>111</t>
    </r>
    <r>
      <rPr>
        <b/>
        <sz val="10"/>
        <rFont val="細明體"/>
        <family val="3"/>
        <charset val="136"/>
      </rPr>
      <t>年度</t>
    </r>
    <phoneticPr fontId="9" type="noConversion"/>
  </si>
  <si>
    <r>
      <t>112</t>
    </r>
    <r>
      <rPr>
        <b/>
        <sz val="12"/>
        <rFont val="細明體"/>
        <family val="3"/>
        <charset val="136"/>
      </rPr>
      <t>年</t>
    </r>
    <phoneticPr fontId="9" type="noConversion"/>
  </si>
  <si>
    <t>其他應收帳款(附註四(四))</t>
    <phoneticPr fontId="2" type="noConversion"/>
  </si>
  <si>
    <t>存　　貨(附註四(五))</t>
    <phoneticPr fontId="2" type="noConversion"/>
  </si>
  <si>
    <t>預付款項(附註四(六))</t>
    <phoneticPr fontId="2" type="noConversion"/>
  </si>
  <si>
    <t>營業收入</t>
    <phoneticPr fontId="2" type="noConversion"/>
  </si>
  <si>
    <t>一一一年十二月三十一日</t>
    <phoneticPr fontId="2" type="noConversion"/>
  </si>
  <si>
    <t>本期稅後淨損</t>
    <phoneticPr fontId="2" type="noConversion"/>
  </si>
  <si>
    <t>支付之利息</t>
    <phoneticPr fontId="2" type="noConversion"/>
  </si>
  <si>
    <t>支付之所得稅</t>
    <phoneticPr fontId="2" type="noConversion"/>
  </si>
  <si>
    <t>收取之利息</t>
    <phoneticPr fontId="2" type="noConversion"/>
  </si>
  <si>
    <t>營業活動之現金流量</t>
    <phoneticPr fontId="2" type="noConversion"/>
  </si>
  <si>
    <t>收取之股利</t>
    <phoneticPr fontId="2" type="noConversion"/>
  </si>
  <si>
    <t>投資活動之現金流量</t>
    <phoneticPr fontId="2" type="noConversion"/>
  </si>
  <si>
    <t>籌資活動之現金流量</t>
    <phoneticPr fontId="2" type="noConversion"/>
  </si>
  <si>
    <t>發放現金股利</t>
    <phoneticPr fontId="2" type="noConversion"/>
  </si>
  <si>
    <t>期初現金及約當現金餘額</t>
    <phoneticPr fontId="2" type="noConversion"/>
  </si>
  <si>
    <t>期末現金及約當現金餘額</t>
    <phoneticPr fontId="2" type="noConversion"/>
  </si>
  <si>
    <t>折舊費用</t>
    <phoneticPr fontId="2" type="noConversion"/>
  </si>
  <si>
    <t>攤銷費用</t>
    <phoneticPr fontId="2" type="noConversion"/>
  </si>
  <si>
    <t>應收票據增加</t>
    <phoneticPr fontId="2" type="noConversion"/>
  </si>
  <si>
    <t>應收帳款增加</t>
    <phoneticPr fontId="2" type="noConversion"/>
  </si>
  <si>
    <t>存貨增加</t>
    <phoneticPr fontId="2" type="noConversion"/>
  </si>
  <si>
    <t>其他應付款增加</t>
    <phoneticPr fontId="2" type="noConversion"/>
  </si>
  <si>
    <t>營運產生之現金</t>
    <phoneticPr fontId="2" type="noConversion"/>
  </si>
  <si>
    <t>與營業活動相關之流動資產/負債變動數</t>
    <phoneticPr fontId="2" type="noConversion"/>
  </si>
  <si>
    <t>收益費損項目</t>
    <phoneticPr fontId="2" type="noConversion"/>
  </si>
  <si>
    <t>調整項目：</t>
    <phoneticPr fontId="2" type="noConversion"/>
  </si>
  <si>
    <t>取得不動產、廠房及設備</t>
    <phoneticPr fontId="2" type="noConversion"/>
  </si>
  <si>
    <t>取得無形資產</t>
    <phoneticPr fontId="2" type="noConversion"/>
  </si>
  <si>
    <t>投資活動之淨現金流出</t>
    <phoneticPr fontId="2" type="noConversion"/>
  </si>
  <si>
    <t>長期借款增加</t>
    <phoneticPr fontId="2" type="noConversion"/>
  </si>
  <si>
    <t>現金增資</t>
    <phoneticPr fontId="2" type="noConversion"/>
  </si>
  <si>
    <t>資本公積溢價</t>
    <phoneticPr fontId="2" type="noConversion"/>
  </si>
  <si>
    <t>籌資活動之淨現金流入</t>
    <phoneticPr fontId="2" type="noConversion"/>
  </si>
  <si>
    <t>存出保證金增加</t>
    <phoneticPr fontId="2" type="noConversion"/>
  </si>
  <si>
    <t>本期現金及約當現金減少數</t>
    <phoneticPr fontId="9" type="noConversion"/>
  </si>
  <si>
    <t>營業成本(附註四(十九))</t>
    <phoneticPr fontId="2" type="noConversion"/>
  </si>
  <si>
    <t>待彌補虧損(附註四(十八))</t>
    <phoneticPr fontId="2" type="noConversion"/>
  </si>
  <si>
    <t>保留盈餘(附註四(十七))</t>
    <phoneticPr fontId="2" type="noConversion"/>
  </si>
  <si>
    <t>資本公積(附註四(十六))</t>
    <phoneticPr fontId="2" type="noConversion"/>
  </si>
  <si>
    <t>股    本(附註四(十五))</t>
    <phoneticPr fontId="2" type="noConversion"/>
  </si>
  <si>
    <t>長期借款(附註四(十四))</t>
    <phoneticPr fontId="2" type="noConversion"/>
  </si>
  <si>
    <t>其他流動負債(附註四(十三))</t>
    <phoneticPr fontId="2" type="noConversion"/>
  </si>
  <si>
    <t>存出保證金(附註四(九))</t>
    <phoneticPr fontId="2" type="noConversion"/>
  </si>
  <si>
    <t>無形資產(附註四(八))</t>
    <phoneticPr fontId="2" type="noConversion"/>
  </si>
  <si>
    <t>不動產、廠房及設備(附註四(七))</t>
    <phoneticPr fontId="2" type="noConversion"/>
  </si>
  <si>
    <t>其他流動資產</t>
    <phoneticPr fontId="2" type="noConversion"/>
  </si>
  <si>
    <t>現金增資(附註四(十五))</t>
    <phoneticPr fontId="2" type="noConversion"/>
  </si>
  <si>
    <t>一年內到期長期借款(附註四(十四))</t>
    <phoneticPr fontId="2" type="noConversion"/>
  </si>
  <si>
    <t>遞延所得稅資產(附註四(十八))</t>
    <phoneticPr fontId="2" type="noConversion"/>
  </si>
  <si>
    <t>1000</t>
  </si>
  <si>
    <t>資產總額</t>
  </si>
  <si>
    <t>1100</t>
  </si>
  <si>
    <t>1111</t>
  </si>
  <si>
    <t>現金</t>
  </si>
  <si>
    <t>1112</t>
  </si>
  <si>
    <t>1112-1</t>
  </si>
  <si>
    <t>銀行存款-合作金庫</t>
  </si>
  <si>
    <t>1112-2</t>
  </si>
  <si>
    <t>定期存單-合作金庫</t>
  </si>
  <si>
    <t>1112-3</t>
  </si>
  <si>
    <t>銀行存款-彰銀活存</t>
  </si>
  <si>
    <t>1112-4</t>
  </si>
  <si>
    <t>銀行存款-彰銀支存</t>
  </si>
  <si>
    <t>1112-5</t>
  </si>
  <si>
    <t>銀行存款-彰銀活存設質</t>
  </si>
  <si>
    <t>1112-6</t>
  </si>
  <si>
    <t>銀行存款-土銀活存</t>
  </si>
  <si>
    <t>1113</t>
  </si>
  <si>
    <t>1114</t>
  </si>
  <si>
    <t>1121</t>
  </si>
  <si>
    <t>1122</t>
  </si>
  <si>
    <t>1123</t>
  </si>
  <si>
    <t>1124</t>
  </si>
  <si>
    <t>1125</t>
  </si>
  <si>
    <t>1126</t>
  </si>
  <si>
    <t>1129-1</t>
  </si>
  <si>
    <t>1129-2</t>
  </si>
  <si>
    <t>1129-3</t>
  </si>
  <si>
    <t>1130</t>
  </si>
  <si>
    <t>1131</t>
  </si>
  <si>
    <t>1132</t>
  </si>
  <si>
    <t>1133</t>
  </si>
  <si>
    <t>1134</t>
  </si>
  <si>
    <t>原料存貨</t>
  </si>
  <si>
    <t>1135</t>
  </si>
  <si>
    <t>1136</t>
  </si>
  <si>
    <t>1137</t>
  </si>
  <si>
    <t>1138</t>
  </si>
  <si>
    <t>1140</t>
  </si>
  <si>
    <t>1141</t>
  </si>
  <si>
    <t>預付費用</t>
  </si>
  <si>
    <t>1142</t>
  </si>
  <si>
    <t>1143</t>
  </si>
  <si>
    <t>1144</t>
  </si>
  <si>
    <t>1145</t>
  </si>
  <si>
    <t>1149</t>
  </si>
  <si>
    <t>1151</t>
  </si>
  <si>
    <t>1154</t>
  </si>
  <si>
    <t>1157</t>
  </si>
  <si>
    <t>1158</t>
  </si>
  <si>
    <t>1159</t>
  </si>
  <si>
    <t>1161</t>
  </si>
  <si>
    <t>1190</t>
  </si>
  <si>
    <t>1191</t>
  </si>
  <si>
    <t>暫付款</t>
  </si>
  <si>
    <t>1199</t>
  </si>
  <si>
    <t>1199-1</t>
  </si>
  <si>
    <t>應退稅額</t>
  </si>
  <si>
    <t>1199-2</t>
  </si>
  <si>
    <t>1199-3</t>
  </si>
  <si>
    <t>1199-4</t>
  </si>
  <si>
    <t>1199-5</t>
  </si>
  <si>
    <t>1200</t>
  </si>
  <si>
    <t>1300</t>
  </si>
  <si>
    <t>1302</t>
  </si>
  <si>
    <t>1400</t>
  </si>
  <si>
    <t>固定資產</t>
  </si>
  <si>
    <t>1410</t>
  </si>
  <si>
    <t>1411</t>
  </si>
  <si>
    <t>1421</t>
  </si>
  <si>
    <t>1431</t>
  </si>
  <si>
    <t>房屋及建築</t>
  </si>
  <si>
    <t>累計折舊-房屋及建築</t>
  </si>
  <si>
    <t>1441</t>
  </si>
  <si>
    <t>機器設備</t>
  </si>
  <si>
    <t>累計折舊-機器設備</t>
  </si>
  <si>
    <t>1451</t>
  </si>
  <si>
    <t>累計折舊-運輸設備</t>
  </si>
  <si>
    <t>1461</t>
  </si>
  <si>
    <t>辦公設備</t>
  </si>
  <si>
    <t>累計折舊-辦公設備</t>
  </si>
  <si>
    <t>1470</t>
  </si>
  <si>
    <t>1491</t>
  </si>
  <si>
    <t>其他固定資產</t>
  </si>
  <si>
    <t>累計折舊-其他固定資產</t>
  </si>
  <si>
    <t>1510</t>
  </si>
  <si>
    <t>1511</t>
  </si>
  <si>
    <t>無形資產-累計攤折</t>
  </si>
  <si>
    <t>1541</t>
  </si>
  <si>
    <t>1551</t>
  </si>
  <si>
    <t>1612</t>
  </si>
  <si>
    <t>1615</t>
  </si>
  <si>
    <t>1618</t>
  </si>
  <si>
    <t>1621</t>
  </si>
  <si>
    <t>1622</t>
  </si>
  <si>
    <t>1630</t>
  </si>
  <si>
    <t>1631</t>
  </si>
  <si>
    <t>1640</t>
  </si>
  <si>
    <t>1641</t>
  </si>
  <si>
    <t>1710</t>
  </si>
  <si>
    <t>1711</t>
  </si>
  <si>
    <t>1712</t>
  </si>
  <si>
    <t>1900</t>
  </si>
  <si>
    <t>其他非流動資產</t>
  </si>
  <si>
    <t>1901</t>
  </si>
  <si>
    <t>1902</t>
  </si>
  <si>
    <t>1903</t>
  </si>
  <si>
    <t>1904-1</t>
  </si>
  <si>
    <t>1904-2</t>
  </si>
  <si>
    <t>1904-3</t>
  </si>
  <si>
    <t>1904-4</t>
  </si>
  <si>
    <t>2000</t>
  </si>
  <si>
    <t>負債總額</t>
  </si>
  <si>
    <t>2100</t>
  </si>
  <si>
    <t>2110</t>
  </si>
  <si>
    <t>2111</t>
  </si>
  <si>
    <t>2112-1</t>
  </si>
  <si>
    <t>一年內到期長期借款</t>
  </si>
  <si>
    <t>2119</t>
  </si>
  <si>
    <t>2120</t>
  </si>
  <si>
    <t>2120-1</t>
  </si>
  <si>
    <t>2121</t>
  </si>
  <si>
    <t>2126</t>
  </si>
  <si>
    <t>2130</t>
  </si>
  <si>
    <t>2131</t>
  </si>
  <si>
    <t>應付費用</t>
  </si>
  <si>
    <t>2131-1</t>
  </si>
  <si>
    <t>2131-2</t>
  </si>
  <si>
    <t>應付薪資</t>
  </si>
  <si>
    <t>2131-3</t>
  </si>
  <si>
    <t>應付利息</t>
  </si>
  <si>
    <t>2132</t>
  </si>
  <si>
    <t>應付稅捐</t>
  </si>
  <si>
    <t>2133</t>
  </si>
  <si>
    <t>2134</t>
  </si>
  <si>
    <t>2135-1</t>
  </si>
  <si>
    <t>2135-2</t>
  </si>
  <si>
    <t>2135-3</t>
  </si>
  <si>
    <t>2136</t>
  </si>
  <si>
    <t>2137</t>
  </si>
  <si>
    <t>預收貨款</t>
  </si>
  <si>
    <t>2138</t>
  </si>
  <si>
    <t>2140</t>
  </si>
  <si>
    <t>2150</t>
  </si>
  <si>
    <t>2170</t>
  </si>
  <si>
    <t>2180</t>
  </si>
  <si>
    <t>2190</t>
  </si>
  <si>
    <t>2191</t>
  </si>
  <si>
    <t>2195-01</t>
  </si>
  <si>
    <t>2195-02</t>
  </si>
  <si>
    <t>2195-03</t>
  </si>
  <si>
    <t>2195-04</t>
  </si>
  <si>
    <t>2195-05</t>
  </si>
  <si>
    <t>2195-11</t>
  </si>
  <si>
    <t>2195-12</t>
  </si>
  <si>
    <t>2195-13</t>
  </si>
  <si>
    <t>代收款項-其他</t>
  </si>
  <si>
    <t>2196-1</t>
  </si>
  <si>
    <t>2196-2</t>
  </si>
  <si>
    <t>2210</t>
  </si>
  <si>
    <t>2220</t>
  </si>
  <si>
    <t>2230</t>
  </si>
  <si>
    <t>2240</t>
  </si>
  <si>
    <t>2260</t>
  </si>
  <si>
    <t>2270</t>
  </si>
  <si>
    <t>2280</t>
  </si>
  <si>
    <t>2281</t>
  </si>
  <si>
    <t>2282</t>
  </si>
  <si>
    <t>2290</t>
  </si>
  <si>
    <t>2900</t>
  </si>
  <si>
    <t>2910</t>
  </si>
  <si>
    <t>2940</t>
  </si>
  <si>
    <t>2951</t>
  </si>
  <si>
    <t>2970</t>
  </si>
  <si>
    <t>2999-1</t>
  </si>
  <si>
    <t>2999-2</t>
  </si>
  <si>
    <t>2999-3</t>
  </si>
  <si>
    <t>3000</t>
  </si>
  <si>
    <t>權益總額</t>
  </si>
  <si>
    <t>3100</t>
  </si>
  <si>
    <t>資本或股本(實收)</t>
  </si>
  <si>
    <t>3110</t>
  </si>
  <si>
    <t>股本(登記)</t>
  </si>
  <si>
    <t>3120</t>
  </si>
  <si>
    <t>3130</t>
  </si>
  <si>
    <t>3300</t>
  </si>
  <si>
    <t>3400</t>
  </si>
  <si>
    <t>3410</t>
  </si>
  <si>
    <t>3411</t>
  </si>
  <si>
    <t>3420</t>
  </si>
  <si>
    <t>3421</t>
  </si>
  <si>
    <t>3422</t>
  </si>
  <si>
    <t>3430</t>
  </si>
  <si>
    <t>累積盈虧</t>
  </si>
  <si>
    <t>3431</t>
  </si>
  <si>
    <t>3432</t>
  </si>
  <si>
    <t>累積盈虧(87年以後)</t>
  </si>
  <si>
    <t>3434</t>
  </si>
  <si>
    <t>3435</t>
  </si>
  <si>
    <t>3440</t>
  </si>
  <si>
    <t>本期損益</t>
  </si>
  <si>
    <t>3450</t>
  </si>
  <si>
    <t>3500</t>
  </si>
  <si>
    <t>3502</t>
  </si>
  <si>
    <t>3503</t>
  </si>
  <si>
    <t>3504</t>
  </si>
  <si>
    <t>3505</t>
  </si>
  <si>
    <t>3506</t>
  </si>
  <si>
    <t>3507</t>
  </si>
  <si>
    <t>3508</t>
  </si>
  <si>
    <t>3600</t>
  </si>
  <si>
    <t>4000</t>
  </si>
  <si>
    <t>4100</t>
  </si>
  <si>
    <t>4101</t>
  </si>
  <si>
    <t>4101-1</t>
  </si>
  <si>
    <t>4102</t>
  </si>
  <si>
    <t>4103</t>
  </si>
  <si>
    <t>4104</t>
  </si>
  <si>
    <t>4105</t>
  </si>
  <si>
    <t>4201</t>
  </si>
  <si>
    <t>4202</t>
  </si>
  <si>
    <t>5000</t>
  </si>
  <si>
    <t>5010</t>
  </si>
  <si>
    <t>5020</t>
  </si>
  <si>
    <t>5021</t>
  </si>
  <si>
    <t>5022</t>
  </si>
  <si>
    <t>5023</t>
  </si>
  <si>
    <t>5030</t>
  </si>
  <si>
    <t>5040</t>
  </si>
  <si>
    <t>5050</t>
  </si>
  <si>
    <t>5100</t>
  </si>
  <si>
    <t>5110</t>
  </si>
  <si>
    <t>5120</t>
  </si>
  <si>
    <t>5121</t>
  </si>
  <si>
    <t>5122</t>
  </si>
  <si>
    <t>5123</t>
  </si>
  <si>
    <t>5130</t>
  </si>
  <si>
    <t>5140</t>
  </si>
  <si>
    <t>5150</t>
  </si>
  <si>
    <t>5200</t>
  </si>
  <si>
    <t>5210</t>
  </si>
  <si>
    <t>5220</t>
  </si>
  <si>
    <t>5221</t>
  </si>
  <si>
    <t>5222</t>
  </si>
  <si>
    <t>5223</t>
  </si>
  <si>
    <t>5230</t>
  </si>
  <si>
    <t>5240</t>
  </si>
  <si>
    <t>5250</t>
  </si>
  <si>
    <t>5300</t>
  </si>
  <si>
    <t>5301</t>
  </si>
  <si>
    <t>5400</t>
  </si>
  <si>
    <t>5401</t>
  </si>
  <si>
    <t>5401-1</t>
  </si>
  <si>
    <t>5402</t>
  </si>
  <si>
    <t>5403</t>
  </si>
  <si>
    <t>5404</t>
  </si>
  <si>
    <t>5405</t>
  </si>
  <si>
    <t>5406</t>
  </si>
  <si>
    <t>5407</t>
  </si>
  <si>
    <t>5408</t>
  </si>
  <si>
    <t>5409</t>
  </si>
  <si>
    <t>5410</t>
  </si>
  <si>
    <t>5411</t>
  </si>
  <si>
    <t>5412</t>
  </si>
  <si>
    <t>5413</t>
  </si>
  <si>
    <t>5414</t>
  </si>
  <si>
    <t>5415</t>
  </si>
  <si>
    <t>5416</t>
  </si>
  <si>
    <t>549001</t>
  </si>
  <si>
    <t>549002</t>
  </si>
  <si>
    <t>549003</t>
  </si>
  <si>
    <t>549004</t>
  </si>
  <si>
    <t>549005</t>
  </si>
  <si>
    <t>549006</t>
  </si>
  <si>
    <t>549007</t>
  </si>
  <si>
    <t>549009</t>
  </si>
  <si>
    <t>549011</t>
  </si>
  <si>
    <t>549016</t>
  </si>
  <si>
    <t>549017</t>
  </si>
  <si>
    <t>549018</t>
  </si>
  <si>
    <t>549019</t>
  </si>
  <si>
    <t>549020</t>
  </si>
  <si>
    <t>549021</t>
  </si>
  <si>
    <t>549022</t>
  </si>
  <si>
    <t>549029</t>
  </si>
  <si>
    <t>549030</t>
  </si>
  <si>
    <t>549031</t>
  </si>
  <si>
    <t>549032</t>
  </si>
  <si>
    <t>549038</t>
  </si>
  <si>
    <t>549039</t>
  </si>
  <si>
    <t>549040</t>
  </si>
  <si>
    <t>549041</t>
  </si>
  <si>
    <t>549042</t>
  </si>
  <si>
    <t>549043</t>
  </si>
  <si>
    <t>549044</t>
  </si>
  <si>
    <t>5498</t>
  </si>
  <si>
    <t>5550</t>
  </si>
  <si>
    <t>5551</t>
  </si>
  <si>
    <t>5552</t>
  </si>
  <si>
    <t>5553</t>
  </si>
  <si>
    <t>5554</t>
  </si>
  <si>
    <t>5560</t>
  </si>
  <si>
    <t>5561</t>
  </si>
  <si>
    <t>5562</t>
  </si>
  <si>
    <t>5563</t>
  </si>
  <si>
    <t>5564</t>
  </si>
  <si>
    <t>5565</t>
  </si>
  <si>
    <t>5566</t>
  </si>
  <si>
    <t>5570</t>
  </si>
  <si>
    <t>5600</t>
  </si>
  <si>
    <t>5700</t>
  </si>
  <si>
    <t>5800</t>
  </si>
  <si>
    <t>5810</t>
  </si>
  <si>
    <t>5850</t>
  </si>
  <si>
    <t>5900</t>
  </si>
  <si>
    <t>6000</t>
  </si>
  <si>
    <t>6010</t>
  </si>
  <si>
    <t>6010-1</t>
  </si>
  <si>
    <t>6011</t>
  </si>
  <si>
    <t>6012</t>
  </si>
  <si>
    <t>6013</t>
  </si>
  <si>
    <t>6014</t>
  </si>
  <si>
    <t>6015</t>
  </si>
  <si>
    <t>6016</t>
  </si>
  <si>
    <t>6017</t>
  </si>
  <si>
    <t>6018</t>
  </si>
  <si>
    <t>6019</t>
  </si>
  <si>
    <t>601901</t>
  </si>
  <si>
    <t>6020</t>
  </si>
  <si>
    <t>6021</t>
  </si>
  <si>
    <t>6022</t>
  </si>
  <si>
    <t>6023</t>
  </si>
  <si>
    <t>6024</t>
  </si>
  <si>
    <t>6025</t>
  </si>
  <si>
    <t>6026</t>
  </si>
  <si>
    <t>6027</t>
  </si>
  <si>
    <t>6028</t>
  </si>
  <si>
    <t>6029</t>
  </si>
  <si>
    <t>602901</t>
  </si>
  <si>
    <t>602902</t>
  </si>
  <si>
    <t>602903</t>
  </si>
  <si>
    <t>602904</t>
  </si>
  <si>
    <t>602905</t>
  </si>
  <si>
    <t>602906</t>
  </si>
  <si>
    <t>602907</t>
  </si>
  <si>
    <t>602908</t>
  </si>
  <si>
    <t>602909</t>
  </si>
  <si>
    <t>602910</t>
  </si>
  <si>
    <t>602911</t>
  </si>
  <si>
    <t>602912</t>
  </si>
  <si>
    <t>602913</t>
  </si>
  <si>
    <t>602914</t>
  </si>
  <si>
    <t>602915</t>
  </si>
  <si>
    <t>602916</t>
  </si>
  <si>
    <t>602917</t>
  </si>
  <si>
    <t>602918</t>
  </si>
  <si>
    <t>602919</t>
  </si>
  <si>
    <t>602920</t>
  </si>
  <si>
    <t>6030</t>
  </si>
  <si>
    <t>6031</t>
  </si>
  <si>
    <t>603201</t>
  </si>
  <si>
    <t>603202</t>
  </si>
  <si>
    <t>603203</t>
  </si>
  <si>
    <t>603204</t>
  </si>
  <si>
    <t>603205</t>
  </si>
  <si>
    <t>603206</t>
  </si>
  <si>
    <t>603207</t>
  </si>
  <si>
    <t>603208</t>
  </si>
  <si>
    <t>603209</t>
  </si>
  <si>
    <t>603210</t>
  </si>
  <si>
    <t>603211</t>
  </si>
  <si>
    <t>603212</t>
  </si>
  <si>
    <t>603213</t>
  </si>
  <si>
    <t>603214</t>
  </si>
  <si>
    <t>603215</t>
  </si>
  <si>
    <t>603216</t>
  </si>
  <si>
    <t>603217</t>
  </si>
  <si>
    <t>603222</t>
  </si>
  <si>
    <t>7000</t>
  </si>
  <si>
    <t>7035</t>
  </si>
  <si>
    <t>7036</t>
  </si>
  <si>
    <t>7038</t>
  </si>
  <si>
    <t>7039</t>
  </si>
  <si>
    <t>7040</t>
  </si>
  <si>
    <t>7041</t>
  </si>
  <si>
    <t>7043</t>
  </si>
  <si>
    <t>7044</t>
  </si>
  <si>
    <t>7044-1</t>
  </si>
  <si>
    <t>7045</t>
  </si>
  <si>
    <t>7097</t>
  </si>
  <si>
    <t>8000</t>
  </si>
  <si>
    <t>8046</t>
  </si>
  <si>
    <t>8047</t>
  </si>
  <si>
    <t>8048</t>
  </si>
  <si>
    <t>8049</t>
  </si>
  <si>
    <t>8051</t>
  </si>
  <si>
    <t>8052</t>
  </si>
  <si>
    <t>9000</t>
  </si>
  <si>
    <t>負債及權益總額</t>
  </si>
  <si>
    <t>9999</t>
  </si>
  <si>
    <t>資產項目</t>
  </si>
  <si>
    <t>資產項目名稱</t>
  </si>
  <si>
    <t>負債及淨值項目</t>
  </si>
  <si>
    <t>負債及淨值項目名稱</t>
  </si>
  <si>
    <t/>
  </si>
  <si>
    <t>營業收入總額</t>
  </si>
  <si>
    <t>進銷成本</t>
  </si>
  <si>
    <t>直接原料</t>
  </si>
  <si>
    <t>直接人工</t>
  </si>
  <si>
    <t>直接人工-免稅加班費</t>
  </si>
  <si>
    <t>製造費用****</t>
  </si>
  <si>
    <t>營業費用及損失總額</t>
  </si>
  <si>
    <t>非營業收入總額</t>
  </si>
  <si>
    <t>非營業損失及費用總額</t>
  </si>
  <si>
    <r>
      <rPr>
        <sz val="12"/>
        <rFont val="新細明體"/>
        <family val="1"/>
        <charset val="136"/>
      </rPr>
      <t>資產金額小計</t>
    </r>
  </si>
  <si>
    <r>
      <rPr>
        <sz val="12"/>
        <rFont val="新細明體"/>
        <family val="1"/>
        <charset val="136"/>
      </rPr>
      <t>資產金額合計</t>
    </r>
  </si>
  <si>
    <r>
      <rPr>
        <sz val="12"/>
        <rFont val="新細明體"/>
        <family val="1"/>
        <charset val="136"/>
      </rPr>
      <t>負債及淨值金額小計</t>
    </r>
  </si>
  <si>
    <r>
      <rPr>
        <sz val="12"/>
        <rFont val="新細明體"/>
        <family val="1"/>
        <charset val="136"/>
      </rPr>
      <t>負債及淨值金額合計</t>
    </r>
  </si>
  <si>
    <r>
      <rPr>
        <sz val="12"/>
        <rFont val="標楷體"/>
        <family val="4"/>
        <charset val="136"/>
      </rPr>
      <t>項目代號</t>
    </r>
  </si>
  <si>
    <r>
      <rPr>
        <sz val="12"/>
        <rFont val="標楷體"/>
        <family val="4"/>
        <charset val="136"/>
      </rPr>
      <t>項目名稱</t>
    </r>
  </si>
  <si>
    <r>
      <rPr>
        <sz val="12"/>
        <rFont val="標楷體"/>
        <family val="4"/>
        <charset val="136"/>
      </rPr>
      <t>小計金額</t>
    </r>
  </si>
  <si>
    <r>
      <rPr>
        <sz val="12"/>
        <rFont val="標楷體"/>
        <family val="4"/>
        <charset val="136"/>
      </rPr>
      <t>合計金額</t>
    </r>
  </si>
  <si>
    <r>
      <rPr>
        <sz val="12"/>
        <rFont val="標楷體"/>
        <family val="4"/>
        <charset val="136"/>
      </rPr>
      <t>百分比</t>
    </r>
  </si>
  <si>
    <r>
      <rPr>
        <sz val="12"/>
        <rFont val="標楷體"/>
        <family val="4"/>
        <charset val="136"/>
      </rPr>
      <t>營業收入淨額</t>
    </r>
  </si>
  <si>
    <r>
      <rPr>
        <sz val="12"/>
        <rFont val="標楷體"/>
        <family val="4"/>
        <charset val="136"/>
      </rPr>
      <t>營業收入總額</t>
    </r>
  </si>
  <si>
    <r>
      <rPr>
        <sz val="12"/>
        <rFont val="標楷體"/>
        <family val="4"/>
        <charset val="136"/>
      </rPr>
      <t>　　營業收入</t>
    </r>
  </si>
  <si>
    <r>
      <rPr>
        <sz val="12"/>
        <rFont val="標楷體"/>
        <family val="4"/>
        <charset val="136"/>
      </rPr>
      <t>　　銷貨折讓</t>
    </r>
  </si>
  <si>
    <r>
      <rPr>
        <sz val="12"/>
        <rFont val="標楷體"/>
        <family val="4"/>
        <charset val="136"/>
      </rPr>
      <t>營業成本</t>
    </r>
  </si>
  <si>
    <r>
      <rPr>
        <sz val="12"/>
        <rFont val="標楷體"/>
        <family val="4"/>
        <charset val="136"/>
      </rPr>
      <t>進銷成本</t>
    </r>
  </si>
  <si>
    <r>
      <rPr>
        <sz val="12"/>
        <rFont val="標楷體"/>
        <family val="4"/>
        <charset val="136"/>
      </rPr>
      <t>直接原料</t>
    </r>
  </si>
  <si>
    <r>
      <rPr>
        <sz val="12"/>
        <rFont val="標楷體"/>
        <family val="4"/>
        <charset val="136"/>
      </rPr>
      <t>　　原料進料</t>
    </r>
  </si>
  <si>
    <r>
      <rPr>
        <sz val="12"/>
        <rFont val="標楷體"/>
        <family val="4"/>
        <charset val="136"/>
      </rPr>
      <t>直接人工</t>
    </r>
  </si>
  <si>
    <r>
      <rPr>
        <sz val="12"/>
        <rFont val="標楷體"/>
        <family val="4"/>
        <charset val="136"/>
      </rPr>
      <t>　製造成本</t>
    </r>
  </si>
  <si>
    <r>
      <rPr>
        <sz val="12"/>
        <rFont val="標楷體"/>
        <family val="4"/>
        <charset val="136"/>
      </rPr>
      <t>　製成品成本</t>
    </r>
  </si>
  <si>
    <r>
      <rPr>
        <sz val="12"/>
        <rFont val="標楷體"/>
        <family val="4"/>
        <charset val="136"/>
      </rPr>
      <t>　產銷成本</t>
    </r>
  </si>
  <si>
    <r>
      <rPr>
        <sz val="12"/>
        <rFont val="標楷體"/>
        <family val="4"/>
        <charset val="136"/>
      </rPr>
      <t>營業毛利</t>
    </r>
  </si>
  <si>
    <r>
      <rPr>
        <sz val="12"/>
        <rFont val="標楷體"/>
        <family val="4"/>
        <charset val="136"/>
      </rPr>
      <t>營業費用及損失總額</t>
    </r>
  </si>
  <si>
    <r>
      <rPr>
        <sz val="12"/>
        <rFont val="標楷體"/>
        <family val="4"/>
        <charset val="136"/>
      </rPr>
      <t>　　薪資支出</t>
    </r>
  </si>
  <si>
    <r>
      <rPr>
        <sz val="12"/>
        <rFont val="標楷體"/>
        <family val="4"/>
        <charset val="136"/>
      </rPr>
      <t>　　租金支出</t>
    </r>
  </si>
  <si>
    <r>
      <rPr>
        <sz val="12"/>
        <rFont val="標楷體"/>
        <family val="4"/>
        <charset val="136"/>
      </rPr>
      <t>　　文具用品</t>
    </r>
  </si>
  <si>
    <r>
      <rPr>
        <sz val="12"/>
        <rFont val="標楷體"/>
        <family val="4"/>
        <charset val="136"/>
      </rPr>
      <t>　　旅費</t>
    </r>
  </si>
  <si>
    <r>
      <rPr>
        <sz val="12"/>
        <rFont val="標楷體"/>
        <family val="4"/>
        <charset val="136"/>
      </rPr>
      <t>　　運費</t>
    </r>
  </si>
  <si>
    <r>
      <rPr>
        <sz val="12"/>
        <rFont val="標楷體"/>
        <family val="4"/>
        <charset val="136"/>
      </rPr>
      <t>　　郵電費</t>
    </r>
  </si>
  <si>
    <r>
      <rPr>
        <sz val="12"/>
        <rFont val="標楷體"/>
        <family val="4"/>
        <charset val="136"/>
      </rPr>
      <t>　　修繕費</t>
    </r>
  </si>
  <si>
    <r>
      <rPr>
        <sz val="12"/>
        <rFont val="標楷體"/>
        <family val="4"/>
        <charset val="136"/>
      </rPr>
      <t>　　廣告費</t>
    </r>
  </si>
  <si>
    <r>
      <rPr>
        <sz val="12"/>
        <rFont val="標楷體"/>
        <family val="4"/>
        <charset val="136"/>
      </rPr>
      <t>　　保險費</t>
    </r>
  </si>
  <si>
    <r>
      <rPr>
        <sz val="12"/>
        <rFont val="標楷體"/>
        <family val="4"/>
        <charset val="136"/>
      </rPr>
      <t>　　交際費</t>
    </r>
  </si>
  <si>
    <r>
      <rPr>
        <sz val="12"/>
        <rFont val="標楷體"/>
        <family val="4"/>
        <charset val="136"/>
      </rPr>
      <t>　　稅捐</t>
    </r>
  </si>
  <si>
    <r>
      <rPr>
        <sz val="12"/>
        <rFont val="標楷體"/>
        <family val="4"/>
        <charset val="136"/>
      </rPr>
      <t>　　折舊</t>
    </r>
  </si>
  <si>
    <r>
      <rPr>
        <sz val="12"/>
        <rFont val="標楷體"/>
        <family val="4"/>
        <charset val="136"/>
      </rPr>
      <t>　　各項耗竭及攤提</t>
    </r>
  </si>
  <si>
    <r>
      <rPr>
        <sz val="12"/>
        <rFont val="標楷體"/>
        <family val="4"/>
        <charset val="136"/>
      </rPr>
      <t>　　伙食費</t>
    </r>
  </si>
  <si>
    <r>
      <rPr>
        <sz val="12"/>
        <rFont val="標楷體"/>
        <family val="4"/>
        <charset val="136"/>
      </rPr>
      <t>　　職工福利</t>
    </r>
  </si>
  <si>
    <r>
      <rPr>
        <sz val="12"/>
        <rFont val="標楷體"/>
        <family val="4"/>
        <charset val="136"/>
      </rPr>
      <t>　　訓練費</t>
    </r>
  </si>
  <si>
    <r>
      <rPr>
        <sz val="12"/>
        <rFont val="標楷體"/>
        <family val="4"/>
        <charset val="136"/>
      </rPr>
      <t>　　什費</t>
    </r>
  </si>
  <si>
    <r>
      <rPr>
        <sz val="12"/>
        <rFont val="標楷體"/>
        <family val="4"/>
        <charset val="136"/>
      </rPr>
      <t>　　勞務費</t>
    </r>
  </si>
  <si>
    <r>
      <rPr>
        <sz val="12"/>
        <rFont val="標楷體"/>
        <family val="4"/>
        <charset val="136"/>
      </rPr>
      <t>　　退職金</t>
    </r>
  </si>
  <si>
    <r>
      <rPr>
        <sz val="12"/>
        <rFont val="標楷體"/>
        <family val="4"/>
        <charset val="136"/>
      </rPr>
      <t>　　參展費</t>
    </r>
  </si>
  <si>
    <r>
      <rPr>
        <sz val="12"/>
        <rFont val="標楷體"/>
        <family val="4"/>
        <charset val="136"/>
      </rPr>
      <t>營業淨利</t>
    </r>
  </si>
  <si>
    <r>
      <rPr>
        <sz val="12"/>
        <rFont val="標楷體"/>
        <family val="4"/>
        <charset val="136"/>
      </rPr>
      <t>非營業收入總額</t>
    </r>
  </si>
  <si>
    <r>
      <rPr>
        <sz val="12"/>
        <rFont val="標楷體"/>
        <family val="4"/>
        <charset val="136"/>
      </rPr>
      <t>　　利息收入</t>
    </r>
  </si>
  <si>
    <r>
      <rPr>
        <sz val="12"/>
        <rFont val="標楷體"/>
        <family val="4"/>
        <charset val="136"/>
      </rPr>
      <t>　　其他收入</t>
    </r>
  </si>
  <si>
    <r>
      <rPr>
        <sz val="12"/>
        <rFont val="標楷體"/>
        <family val="4"/>
        <charset val="136"/>
      </rPr>
      <t>　　出售下腳及廢料收入</t>
    </r>
  </si>
  <si>
    <r>
      <rPr>
        <sz val="12"/>
        <rFont val="標楷體"/>
        <family val="4"/>
        <charset val="136"/>
      </rPr>
      <t>非營業損失及費用總額</t>
    </r>
  </si>
  <si>
    <r>
      <rPr>
        <sz val="12"/>
        <rFont val="標楷體"/>
        <family val="4"/>
        <charset val="136"/>
      </rPr>
      <t>　　利息支出</t>
    </r>
  </si>
  <si>
    <r>
      <rPr>
        <sz val="12"/>
        <rFont val="標楷體"/>
        <family val="4"/>
        <charset val="136"/>
      </rPr>
      <t>稅前淨利</t>
    </r>
  </si>
  <si>
    <r>
      <rPr>
        <sz val="12"/>
        <rFont val="標楷體"/>
        <family val="4"/>
        <charset val="136"/>
      </rPr>
      <t>　　所得稅費用</t>
    </r>
  </si>
  <si>
    <r>
      <rPr>
        <sz val="12"/>
        <rFont val="標楷體"/>
        <family val="4"/>
        <charset val="136"/>
      </rPr>
      <t>稅後淨利</t>
    </r>
  </si>
  <si>
    <r>
      <rPr>
        <sz val="12"/>
        <rFont val="標楷體"/>
        <family val="4"/>
        <charset val="136"/>
      </rPr>
      <t>　　期初存料</t>
    </r>
    <r>
      <rPr>
        <sz val="12"/>
        <rFont val="Times New Roman"/>
        <family val="1"/>
      </rPr>
      <t>-</t>
    </r>
    <r>
      <rPr>
        <sz val="12"/>
        <rFont val="標楷體"/>
        <family val="4"/>
        <charset val="136"/>
      </rPr>
      <t>原料</t>
    </r>
  </si>
  <si>
    <r>
      <rPr>
        <sz val="12"/>
        <rFont val="標楷體"/>
        <family val="4"/>
        <charset val="136"/>
      </rPr>
      <t>　本期進料</t>
    </r>
    <r>
      <rPr>
        <sz val="12"/>
        <rFont val="Times New Roman"/>
        <family val="1"/>
      </rPr>
      <t>-</t>
    </r>
    <r>
      <rPr>
        <sz val="12"/>
        <rFont val="標楷體"/>
        <family val="4"/>
        <charset val="136"/>
      </rPr>
      <t>原料</t>
    </r>
    <r>
      <rPr>
        <sz val="12"/>
        <rFont val="Times New Roman"/>
        <family val="1"/>
      </rPr>
      <t>(</t>
    </r>
    <r>
      <rPr>
        <sz val="12"/>
        <rFont val="標楷體"/>
        <family val="4"/>
        <charset val="136"/>
      </rPr>
      <t>淨額</t>
    </r>
    <r>
      <rPr>
        <sz val="12"/>
        <rFont val="Times New Roman"/>
        <family val="1"/>
      </rPr>
      <t>)</t>
    </r>
  </si>
  <si>
    <r>
      <rPr>
        <sz val="12"/>
        <rFont val="標楷體"/>
        <family val="4"/>
        <charset val="136"/>
      </rPr>
      <t>　　期末存貨</t>
    </r>
    <r>
      <rPr>
        <sz val="12"/>
        <rFont val="Times New Roman"/>
        <family val="1"/>
      </rPr>
      <t>-</t>
    </r>
    <r>
      <rPr>
        <sz val="12"/>
        <rFont val="標楷體"/>
        <family val="4"/>
        <charset val="136"/>
      </rPr>
      <t>原料</t>
    </r>
  </si>
  <si>
    <r>
      <rPr>
        <sz val="12"/>
        <rFont val="標楷體"/>
        <family val="4"/>
        <charset val="136"/>
      </rPr>
      <t>直接人工</t>
    </r>
    <r>
      <rPr>
        <sz val="12"/>
        <rFont val="Times New Roman"/>
        <family val="1"/>
      </rPr>
      <t>-</t>
    </r>
    <r>
      <rPr>
        <sz val="12"/>
        <rFont val="標楷體"/>
        <family val="4"/>
        <charset val="136"/>
      </rPr>
      <t>免稅加班費</t>
    </r>
  </si>
  <si>
    <r>
      <rPr>
        <sz val="12"/>
        <rFont val="標楷體"/>
        <family val="4"/>
        <charset val="136"/>
      </rPr>
      <t>製造費用</t>
    </r>
    <r>
      <rPr>
        <sz val="12"/>
        <rFont val="Times New Roman"/>
        <family val="1"/>
      </rPr>
      <t>****</t>
    </r>
  </si>
  <si>
    <r>
      <rPr>
        <sz val="12"/>
        <rFont val="標楷體"/>
        <family val="4"/>
        <charset val="136"/>
      </rPr>
      <t>　　製</t>
    </r>
    <r>
      <rPr>
        <sz val="12"/>
        <rFont val="Times New Roman"/>
        <family val="1"/>
      </rPr>
      <t>-</t>
    </r>
    <r>
      <rPr>
        <sz val="12"/>
        <rFont val="標楷體"/>
        <family val="4"/>
        <charset val="136"/>
      </rPr>
      <t>間接人工</t>
    </r>
  </si>
  <si>
    <r>
      <rPr>
        <sz val="12"/>
        <rFont val="標楷體"/>
        <family val="4"/>
        <charset val="136"/>
      </rPr>
      <t>　　製</t>
    </r>
    <r>
      <rPr>
        <sz val="12"/>
        <rFont val="Times New Roman"/>
        <family val="1"/>
      </rPr>
      <t>-</t>
    </r>
    <r>
      <rPr>
        <sz val="12"/>
        <rFont val="標楷體"/>
        <family val="4"/>
        <charset val="136"/>
      </rPr>
      <t>間接人工</t>
    </r>
    <r>
      <rPr>
        <sz val="12"/>
        <rFont val="Times New Roman"/>
        <family val="1"/>
      </rPr>
      <t>(</t>
    </r>
    <r>
      <rPr>
        <sz val="12"/>
        <rFont val="標楷體"/>
        <family val="4"/>
        <charset val="136"/>
      </rPr>
      <t>免稅加班費</t>
    </r>
    <r>
      <rPr>
        <sz val="12"/>
        <rFont val="Times New Roman"/>
        <family val="1"/>
      </rPr>
      <t>)</t>
    </r>
  </si>
  <si>
    <r>
      <rPr>
        <sz val="12"/>
        <rFont val="標楷體"/>
        <family val="4"/>
        <charset val="136"/>
      </rPr>
      <t>　　製</t>
    </r>
    <r>
      <rPr>
        <sz val="12"/>
        <rFont val="Times New Roman"/>
        <family val="1"/>
      </rPr>
      <t>-</t>
    </r>
    <r>
      <rPr>
        <sz val="12"/>
        <rFont val="標楷體"/>
        <family val="4"/>
        <charset val="136"/>
      </rPr>
      <t>文具用品</t>
    </r>
  </si>
  <si>
    <r>
      <rPr>
        <sz val="12"/>
        <rFont val="標楷體"/>
        <family val="4"/>
        <charset val="136"/>
      </rPr>
      <t>　　製</t>
    </r>
    <r>
      <rPr>
        <sz val="12"/>
        <rFont val="Times New Roman"/>
        <family val="1"/>
      </rPr>
      <t>-</t>
    </r>
    <r>
      <rPr>
        <sz val="12"/>
        <rFont val="標楷體"/>
        <family val="4"/>
        <charset val="136"/>
      </rPr>
      <t>旅費</t>
    </r>
  </si>
  <si>
    <r>
      <rPr>
        <sz val="12"/>
        <rFont val="標楷體"/>
        <family val="4"/>
        <charset val="136"/>
      </rPr>
      <t>　　製</t>
    </r>
    <r>
      <rPr>
        <sz val="12"/>
        <rFont val="Times New Roman"/>
        <family val="1"/>
      </rPr>
      <t>-</t>
    </r>
    <r>
      <rPr>
        <sz val="12"/>
        <rFont val="標楷體"/>
        <family val="4"/>
        <charset val="136"/>
      </rPr>
      <t>運費</t>
    </r>
  </si>
  <si>
    <r>
      <rPr>
        <sz val="12"/>
        <rFont val="標楷體"/>
        <family val="4"/>
        <charset val="136"/>
      </rPr>
      <t>　　製</t>
    </r>
    <r>
      <rPr>
        <sz val="12"/>
        <rFont val="Times New Roman"/>
        <family val="1"/>
      </rPr>
      <t>-</t>
    </r>
    <r>
      <rPr>
        <sz val="12"/>
        <rFont val="標楷體"/>
        <family val="4"/>
        <charset val="136"/>
      </rPr>
      <t>修繕費</t>
    </r>
  </si>
  <si>
    <r>
      <rPr>
        <sz val="12"/>
        <rFont val="標楷體"/>
        <family val="4"/>
        <charset val="136"/>
      </rPr>
      <t>　　製</t>
    </r>
    <r>
      <rPr>
        <sz val="12"/>
        <rFont val="Times New Roman"/>
        <family val="1"/>
      </rPr>
      <t>-</t>
    </r>
    <r>
      <rPr>
        <sz val="12"/>
        <rFont val="標楷體"/>
        <family val="4"/>
        <charset val="136"/>
      </rPr>
      <t>包裝費</t>
    </r>
  </si>
  <si>
    <r>
      <rPr>
        <sz val="12"/>
        <rFont val="標楷體"/>
        <family val="4"/>
        <charset val="136"/>
      </rPr>
      <t>　　製</t>
    </r>
    <r>
      <rPr>
        <sz val="12"/>
        <rFont val="Times New Roman"/>
        <family val="1"/>
      </rPr>
      <t>-</t>
    </r>
    <r>
      <rPr>
        <sz val="12"/>
        <rFont val="標楷體"/>
        <family val="4"/>
        <charset val="136"/>
      </rPr>
      <t>水電瓦斯費</t>
    </r>
  </si>
  <si>
    <r>
      <rPr>
        <sz val="12"/>
        <rFont val="標楷體"/>
        <family val="4"/>
        <charset val="136"/>
      </rPr>
      <t>　　製</t>
    </r>
    <r>
      <rPr>
        <sz val="12"/>
        <rFont val="Times New Roman"/>
        <family val="1"/>
      </rPr>
      <t>-</t>
    </r>
    <r>
      <rPr>
        <sz val="12"/>
        <rFont val="標楷體"/>
        <family val="4"/>
        <charset val="136"/>
      </rPr>
      <t>保險費</t>
    </r>
  </si>
  <si>
    <r>
      <rPr>
        <sz val="12"/>
        <rFont val="標楷體"/>
        <family val="4"/>
        <charset val="136"/>
      </rPr>
      <t>　　製</t>
    </r>
    <r>
      <rPr>
        <sz val="12"/>
        <rFont val="Times New Roman"/>
        <family val="1"/>
      </rPr>
      <t>-</t>
    </r>
    <r>
      <rPr>
        <sz val="12"/>
        <rFont val="標楷體"/>
        <family val="4"/>
        <charset val="136"/>
      </rPr>
      <t>加工費</t>
    </r>
  </si>
  <si>
    <r>
      <rPr>
        <sz val="12"/>
        <rFont val="標楷體"/>
        <family val="4"/>
        <charset val="136"/>
      </rPr>
      <t>　　製</t>
    </r>
    <r>
      <rPr>
        <sz val="12"/>
        <rFont val="Times New Roman"/>
        <family val="1"/>
      </rPr>
      <t>-</t>
    </r>
    <r>
      <rPr>
        <sz val="12"/>
        <rFont val="標楷體"/>
        <family val="4"/>
        <charset val="136"/>
      </rPr>
      <t>折舊</t>
    </r>
  </si>
  <si>
    <r>
      <rPr>
        <sz val="12"/>
        <rFont val="標楷體"/>
        <family val="4"/>
        <charset val="136"/>
      </rPr>
      <t>　　製</t>
    </r>
    <r>
      <rPr>
        <sz val="12"/>
        <rFont val="Times New Roman"/>
        <family val="1"/>
      </rPr>
      <t>-</t>
    </r>
    <r>
      <rPr>
        <sz val="12"/>
        <rFont val="標楷體"/>
        <family val="4"/>
        <charset val="136"/>
      </rPr>
      <t>耗竭及攤提</t>
    </r>
  </si>
  <si>
    <r>
      <rPr>
        <sz val="12"/>
        <rFont val="標楷體"/>
        <family val="4"/>
        <charset val="136"/>
      </rPr>
      <t>　　製</t>
    </r>
    <r>
      <rPr>
        <sz val="12"/>
        <rFont val="Times New Roman"/>
        <family val="1"/>
      </rPr>
      <t>-</t>
    </r>
    <r>
      <rPr>
        <sz val="12"/>
        <rFont val="標楷體"/>
        <family val="4"/>
        <charset val="136"/>
      </rPr>
      <t>伙食費</t>
    </r>
  </si>
  <si>
    <r>
      <rPr>
        <sz val="12"/>
        <rFont val="標楷體"/>
        <family val="4"/>
        <charset val="136"/>
      </rPr>
      <t>　　製</t>
    </r>
    <r>
      <rPr>
        <sz val="12"/>
        <rFont val="Times New Roman"/>
        <family val="1"/>
      </rPr>
      <t>-</t>
    </r>
    <r>
      <rPr>
        <sz val="12"/>
        <rFont val="標楷體"/>
        <family val="4"/>
        <charset val="136"/>
      </rPr>
      <t>職工福利</t>
    </r>
  </si>
  <si>
    <r>
      <rPr>
        <sz val="12"/>
        <rFont val="標楷體"/>
        <family val="4"/>
        <charset val="136"/>
      </rPr>
      <t>　　製</t>
    </r>
    <r>
      <rPr>
        <sz val="12"/>
        <rFont val="Times New Roman"/>
        <family val="1"/>
      </rPr>
      <t>-</t>
    </r>
    <r>
      <rPr>
        <sz val="12"/>
        <rFont val="標楷體"/>
        <family val="4"/>
        <charset val="136"/>
      </rPr>
      <t>什費</t>
    </r>
  </si>
  <si>
    <r>
      <rPr>
        <sz val="12"/>
        <rFont val="標楷體"/>
        <family val="4"/>
        <charset val="136"/>
      </rPr>
      <t>　　製</t>
    </r>
    <r>
      <rPr>
        <sz val="12"/>
        <rFont val="Times New Roman"/>
        <family val="1"/>
      </rPr>
      <t>-</t>
    </r>
    <r>
      <rPr>
        <sz val="12"/>
        <rFont val="標楷體"/>
        <family val="4"/>
        <charset val="136"/>
      </rPr>
      <t>什項購置</t>
    </r>
  </si>
  <si>
    <r>
      <rPr>
        <sz val="12"/>
        <rFont val="標楷體"/>
        <family val="4"/>
        <charset val="136"/>
      </rPr>
      <t>　　製</t>
    </r>
    <r>
      <rPr>
        <sz val="12"/>
        <rFont val="Times New Roman"/>
        <family val="1"/>
      </rPr>
      <t>-</t>
    </r>
    <r>
      <rPr>
        <sz val="12"/>
        <rFont val="標楷體"/>
        <family val="4"/>
        <charset val="136"/>
      </rPr>
      <t>退職金</t>
    </r>
  </si>
  <si>
    <r>
      <rPr>
        <sz val="12"/>
        <rFont val="標楷體"/>
        <family val="4"/>
        <charset val="136"/>
      </rPr>
      <t>　　製</t>
    </r>
    <r>
      <rPr>
        <sz val="12"/>
        <rFont val="Times New Roman"/>
        <family val="1"/>
      </rPr>
      <t>-</t>
    </r>
    <r>
      <rPr>
        <sz val="12"/>
        <rFont val="標楷體"/>
        <family val="4"/>
        <charset val="136"/>
      </rPr>
      <t>訓練費</t>
    </r>
  </si>
  <si>
    <r>
      <rPr>
        <sz val="12"/>
        <rFont val="標楷體"/>
        <family val="4"/>
        <charset val="136"/>
      </rPr>
      <t>　　製</t>
    </r>
    <r>
      <rPr>
        <sz val="12"/>
        <rFont val="Times New Roman"/>
        <family val="1"/>
      </rPr>
      <t>-</t>
    </r>
    <r>
      <rPr>
        <sz val="12"/>
        <rFont val="標楷體"/>
        <family val="4"/>
        <charset val="136"/>
      </rPr>
      <t>廢水處理費用</t>
    </r>
  </si>
  <si>
    <r>
      <rPr>
        <sz val="12"/>
        <rFont val="標楷體"/>
        <family val="4"/>
        <charset val="136"/>
      </rPr>
      <t>　　製</t>
    </r>
    <r>
      <rPr>
        <sz val="12"/>
        <rFont val="Times New Roman"/>
        <family val="1"/>
      </rPr>
      <t>-</t>
    </r>
    <r>
      <rPr>
        <sz val="12"/>
        <rFont val="標楷體"/>
        <family val="4"/>
        <charset val="136"/>
      </rPr>
      <t>污水處理費用</t>
    </r>
  </si>
  <si>
    <r>
      <rPr>
        <sz val="12"/>
        <rFont val="標楷體"/>
        <family val="4"/>
        <charset val="136"/>
      </rPr>
      <t>　　製</t>
    </r>
    <r>
      <rPr>
        <sz val="12"/>
        <rFont val="Times New Roman"/>
        <family val="1"/>
      </rPr>
      <t>-</t>
    </r>
    <r>
      <rPr>
        <sz val="12"/>
        <rFont val="標楷體"/>
        <family val="4"/>
        <charset val="136"/>
      </rPr>
      <t>空氣汙染防制費</t>
    </r>
  </si>
  <si>
    <r>
      <rPr>
        <sz val="12"/>
        <rFont val="標楷體"/>
        <family val="4"/>
        <charset val="136"/>
      </rPr>
      <t>　　製費</t>
    </r>
    <r>
      <rPr>
        <sz val="12"/>
        <rFont val="Times New Roman"/>
        <family val="1"/>
      </rPr>
      <t>-</t>
    </r>
    <r>
      <rPr>
        <sz val="12"/>
        <rFont val="標楷體"/>
        <family val="4"/>
        <charset val="136"/>
      </rPr>
      <t>土壤及地下水汙染整治</t>
    </r>
    <r>
      <rPr>
        <sz val="12"/>
        <rFont val="Times New Roman"/>
        <family val="1"/>
      </rPr>
      <t xml:space="preserve"> </t>
    </r>
  </si>
  <si>
    <r>
      <rPr>
        <sz val="12"/>
        <rFont val="標楷體"/>
        <family val="4"/>
        <charset val="136"/>
      </rPr>
      <t>　　薪資支出</t>
    </r>
    <r>
      <rPr>
        <sz val="12"/>
        <rFont val="Times New Roman"/>
        <family val="1"/>
      </rPr>
      <t>(</t>
    </r>
    <r>
      <rPr>
        <sz val="12"/>
        <rFont val="標楷體"/>
        <family val="4"/>
        <charset val="136"/>
      </rPr>
      <t>免稅加班費</t>
    </r>
    <r>
      <rPr>
        <sz val="12"/>
        <rFont val="Times New Roman"/>
        <family val="1"/>
      </rPr>
      <t>)</t>
    </r>
  </si>
  <si>
    <t>會計項目</t>
  </si>
  <si>
    <t>科項名稱</t>
  </si>
  <si>
    <t>期初借方</t>
  </si>
  <si>
    <t>期初貸方</t>
  </si>
  <si>
    <t>本期借方</t>
  </si>
  <si>
    <t>本期貸方</t>
  </si>
  <si>
    <t>本期借餘</t>
  </si>
  <si>
    <t>本期貸餘</t>
  </si>
  <si>
    <t>期末借餘</t>
  </si>
  <si>
    <t>期末貸餘</t>
  </si>
  <si>
    <t>短期投資</t>
  </si>
  <si>
    <t>應收票據-備抵呆帳</t>
  </si>
  <si>
    <t>應收帳款-備抵呆帳</t>
  </si>
  <si>
    <t>合約資產-流動</t>
  </si>
  <si>
    <t>累計減損-合約資產</t>
  </si>
  <si>
    <t>應收利息</t>
  </si>
  <si>
    <t>應收退稅款</t>
  </si>
  <si>
    <t>商品存貨</t>
  </si>
  <si>
    <t>製成品存貨</t>
  </si>
  <si>
    <t>在製品(在建工程)存貨</t>
  </si>
  <si>
    <t>物料存貨</t>
  </si>
  <si>
    <t>寄銷品存貨</t>
  </si>
  <si>
    <t>備抵存貨跌價</t>
  </si>
  <si>
    <t>存貨-其他</t>
  </si>
  <si>
    <t>用品盤存</t>
  </si>
  <si>
    <t>預付貨款</t>
  </si>
  <si>
    <t>進項稅額</t>
  </si>
  <si>
    <t>留抵稅額</t>
  </si>
  <si>
    <t>其他預付款</t>
  </si>
  <si>
    <t>其他金融資產-流動</t>
  </si>
  <si>
    <t>透過其他綜合損益按公允價值衡量之金融資產-流動</t>
  </si>
  <si>
    <t>累計減損-其他金融資產-流動</t>
  </si>
  <si>
    <t>按攤銷後成本衡量之金融資產-流動</t>
  </si>
  <si>
    <t>股東往來</t>
  </si>
  <si>
    <t>同業往來</t>
  </si>
  <si>
    <t>其他流動資產-其他</t>
  </si>
  <si>
    <t>遞延所得稅資產-流動</t>
  </si>
  <si>
    <t>備抵所得稅資產-流動</t>
  </si>
  <si>
    <t>遞延費用</t>
  </si>
  <si>
    <t>長期性之投資</t>
  </si>
  <si>
    <t>累計減損-長期投資</t>
  </si>
  <si>
    <t>土地</t>
  </si>
  <si>
    <t>累計減損-土地</t>
  </si>
  <si>
    <t>礦產資源</t>
  </si>
  <si>
    <t>累計折耗-礦源</t>
  </si>
  <si>
    <t>累計減損-房屋及建築</t>
  </si>
  <si>
    <t>累計減損-機器設備</t>
  </si>
  <si>
    <t>累計減損-運輸設備</t>
  </si>
  <si>
    <t>累計減損-辦公設備</t>
  </si>
  <si>
    <t>未完工程及待驗設備</t>
  </si>
  <si>
    <t>累計減損-其他固定資產</t>
  </si>
  <si>
    <t>無形資產-累計減損</t>
  </si>
  <si>
    <t>累計折舊-投資性不動產</t>
  </si>
  <si>
    <t>生物資產</t>
  </si>
  <si>
    <t>累計折舊-生物資產</t>
  </si>
  <si>
    <t>累計減損-生物資產</t>
  </si>
  <si>
    <t>其他金融資產-非流動</t>
  </si>
  <si>
    <t>透過其他綜合損益按公允價值衡量之金融資產</t>
  </si>
  <si>
    <t>按攤銷後成本衡量之金融資產-非流動</t>
  </si>
  <si>
    <t>採用權益法之投資</t>
  </si>
  <si>
    <t>累計減損-採用權益法之投資</t>
  </si>
  <si>
    <t>合約資產-非流動</t>
  </si>
  <si>
    <t>累計減損-合約資產-非流動</t>
  </si>
  <si>
    <t>使用權資產</t>
  </si>
  <si>
    <t>減：累計折舊-使用權資產</t>
  </si>
  <si>
    <t>減：累計減損-使用權資產</t>
  </si>
  <si>
    <t>未攤銷費用</t>
  </si>
  <si>
    <t>備抵所得稅資產-非流</t>
  </si>
  <si>
    <t>未實現利息支出</t>
  </si>
  <si>
    <t>其他非流動資產-其他</t>
  </si>
  <si>
    <t>銀行透支</t>
  </si>
  <si>
    <t>銀行借款</t>
  </si>
  <si>
    <t>其他短期借款</t>
  </si>
  <si>
    <t>應付票據折價</t>
  </si>
  <si>
    <t>合約負債-流動</t>
  </si>
  <si>
    <t>應付保固款</t>
  </si>
  <si>
    <t>應付股利</t>
  </si>
  <si>
    <t>銷項稅額</t>
  </si>
  <si>
    <t>應付租賃款</t>
  </si>
  <si>
    <t>未實現利息收入</t>
  </si>
  <si>
    <t>其他預收款</t>
  </si>
  <si>
    <t>其他金融負債-流動</t>
  </si>
  <si>
    <t>暫收款</t>
  </si>
  <si>
    <t>業主(股東)往來</t>
  </si>
  <si>
    <t>代收稅款-薪資</t>
  </si>
  <si>
    <t>代收稅款-租賃</t>
  </si>
  <si>
    <t>代收稅款-執行業務</t>
  </si>
  <si>
    <t>代收稅款-盈餘</t>
  </si>
  <si>
    <t>代收稅款-其他</t>
  </si>
  <si>
    <t>代收款項-勞保</t>
  </si>
  <si>
    <t>代收款項-健保</t>
  </si>
  <si>
    <t>遞延所得稅負債-流動</t>
  </si>
  <si>
    <t>其他流動負債-其他</t>
  </si>
  <si>
    <t>特別股負債-非流動-非流動</t>
  </si>
  <si>
    <t>其他金融負債-非流動</t>
  </si>
  <si>
    <t>長期應付票據及款項</t>
  </si>
  <si>
    <t>合約負債-非流動</t>
  </si>
  <si>
    <t>租賃負債</t>
  </si>
  <si>
    <t>其他長期負債</t>
  </si>
  <si>
    <t>其他非流動負債</t>
  </si>
  <si>
    <t>退休金準備</t>
  </si>
  <si>
    <t>國外投資損失準備</t>
  </si>
  <si>
    <t>受託承銷品</t>
  </si>
  <si>
    <t>遞延所得稅負債-非流動</t>
  </si>
  <si>
    <t>其他非流動負債-其他</t>
  </si>
  <si>
    <t>土地增值稅準備</t>
  </si>
  <si>
    <t>股本-未發行股本</t>
  </si>
  <si>
    <t>股本-預收股款</t>
  </si>
  <si>
    <t>法定盈餘公積(86年前)</t>
  </si>
  <si>
    <t>法定盈餘公積(87年後)</t>
  </si>
  <si>
    <t>特別盈餘公積(86年前)</t>
  </si>
  <si>
    <t>特別盈餘公積(87年後)</t>
  </si>
  <si>
    <t>累積盈虧(86年以前)</t>
  </si>
  <si>
    <t>追溯適用及追溯重編之影響數</t>
  </si>
  <si>
    <t>本期自其他綜合損益或其他權益項目轉入之稅後淨額</t>
  </si>
  <si>
    <t>減：自本期盈餘分配、撥補虧損及提列法定(特別)盈餘公積之合計金</t>
  </si>
  <si>
    <t>避險工具之損益</t>
  </si>
  <si>
    <t>確定福利計畫再衡量數</t>
  </si>
  <si>
    <t>其他權益-其他</t>
  </si>
  <si>
    <t>透過其他綜合損益按公允價值衡量之未實現損益</t>
  </si>
  <si>
    <t>員工未賺得酬勞</t>
  </si>
  <si>
    <t>營業收入</t>
  </si>
  <si>
    <t>其他營業收入</t>
  </si>
  <si>
    <t>業務收入</t>
  </si>
  <si>
    <t>勞務收入</t>
  </si>
  <si>
    <t>加工收入</t>
  </si>
  <si>
    <t>工程收入</t>
  </si>
  <si>
    <t>銷貨退回</t>
  </si>
  <si>
    <t>銷貨折讓</t>
  </si>
  <si>
    <t>期初存貨</t>
  </si>
  <si>
    <t>本期進貨(淨額)</t>
  </si>
  <si>
    <t>進貨</t>
  </si>
  <si>
    <t>進貨退出</t>
  </si>
  <si>
    <t>進貨折讓</t>
  </si>
  <si>
    <t>期末存貨</t>
  </si>
  <si>
    <t>進貨-其他(加項)</t>
  </si>
  <si>
    <t>進貨-其他(減項)</t>
  </si>
  <si>
    <t>期初存料-原料</t>
  </si>
  <si>
    <t>本期進料-原料(淨額)</t>
  </si>
  <si>
    <t>原料進料</t>
  </si>
  <si>
    <t>原料進料-退出</t>
  </si>
  <si>
    <t>原料進料-折讓</t>
  </si>
  <si>
    <t>期末存貨-原料</t>
  </si>
  <si>
    <t>直接原料-其他(加項)</t>
  </si>
  <si>
    <t>直接原料-其他(減項)</t>
  </si>
  <si>
    <t>間接材料</t>
  </si>
  <si>
    <t>期初存料-物料</t>
  </si>
  <si>
    <t>本期進料-物料(淨額)</t>
  </si>
  <si>
    <t>物料進料</t>
  </si>
  <si>
    <t>物料進料-退出</t>
  </si>
  <si>
    <t>物料進料-折讓</t>
  </si>
  <si>
    <t>期末存貨-物料</t>
  </si>
  <si>
    <t>間接材料-其他(加項)</t>
  </si>
  <si>
    <t>間接材料-其他(減項)</t>
  </si>
  <si>
    <t>製-間接人工</t>
  </si>
  <si>
    <t>製-間接人工(免稅加班費)</t>
  </si>
  <si>
    <t>製-租金支出</t>
  </si>
  <si>
    <t>製-文具用品</t>
  </si>
  <si>
    <t>製-旅費</t>
  </si>
  <si>
    <t>製-運費</t>
  </si>
  <si>
    <t>製-郵電費</t>
  </si>
  <si>
    <t>製-修繕費</t>
  </si>
  <si>
    <t>製-包裝費</t>
  </si>
  <si>
    <t>製-水電瓦斯費</t>
  </si>
  <si>
    <t>製-保險費</t>
  </si>
  <si>
    <t>製-加工費</t>
  </si>
  <si>
    <t>製-稅捐</t>
  </si>
  <si>
    <t>製-折舊</t>
  </si>
  <si>
    <t>製-耗竭及攤提</t>
  </si>
  <si>
    <t>製-伙食費</t>
  </si>
  <si>
    <t>製-職工福利</t>
  </si>
  <si>
    <t>製-什費</t>
  </si>
  <si>
    <t>製-交通費</t>
  </si>
  <si>
    <t>製-什項購置</t>
  </si>
  <si>
    <t>製-書報雜誌</t>
  </si>
  <si>
    <t>製-加班費</t>
  </si>
  <si>
    <t>製-勞務費</t>
  </si>
  <si>
    <t>製-退職金</t>
  </si>
  <si>
    <t>製-樣品費</t>
  </si>
  <si>
    <t>製-燃料費</t>
  </si>
  <si>
    <t>製-消耗費</t>
  </si>
  <si>
    <t>製-廣告費</t>
  </si>
  <si>
    <t>製-模具費</t>
  </si>
  <si>
    <t>製-工廠用品</t>
  </si>
  <si>
    <t>製-交際費</t>
  </si>
  <si>
    <t>製-捐贈</t>
  </si>
  <si>
    <t>製-保固費用</t>
  </si>
  <si>
    <t>製-研究費</t>
  </si>
  <si>
    <t>製-佣金支出</t>
  </si>
  <si>
    <t>製-訓練費</t>
  </si>
  <si>
    <t>製-進口費用</t>
  </si>
  <si>
    <t>製-利息支出</t>
  </si>
  <si>
    <t>製-廢水處理費用</t>
  </si>
  <si>
    <t>製-污水處理費用</t>
  </si>
  <si>
    <t>製-空氣汙染防制費</t>
  </si>
  <si>
    <t>製費-廢棄物清除費</t>
  </si>
  <si>
    <t>製費-間接材料</t>
  </si>
  <si>
    <t>製費-土壤及地下水汙染整治費</t>
  </si>
  <si>
    <t>其他製造費用剔除</t>
  </si>
  <si>
    <t>製造成本</t>
  </si>
  <si>
    <t>期初在製品盤存</t>
  </si>
  <si>
    <t>期末在製品盤存</t>
  </si>
  <si>
    <t>在製品-其他(加項)</t>
  </si>
  <si>
    <t>在製品-其他(減項)</t>
  </si>
  <si>
    <t>製成品成本</t>
  </si>
  <si>
    <t>期初製成品盤存</t>
  </si>
  <si>
    <t>期末製成品盤存</t>
  </si>
  <si>
    <t>製成品-其他(加項)</t>
  </si>
  <si>
    <t>製成品-其他(減項)</t>
  </si>
  <si>
    <t>外銷退稅款</t>
  </si>
  <si>
    <t>產銷成本減項</t>
  </si>
  <si>
    <t>產銷成本</t>
  </si>
  <si>
    <t>勞務成本</t>
  </si>
  <si>
    <t>修理成本</t>
  </si>
  <si>
    <t>加工成本</t>
  </si>
  <si>
    <t>業務成本</t>
  </si>
  <si>
    <t>其他營業成本</t>
  </si>
  <si>
    <t>薪資支出</t>
  </si>
  <si>
    <t>薪資支出(免稅加班費)</t>
  </si>
  <si>
    <t>租金支出</t>
  </si>
  <si>
    <t>文具用品</t>
  </si>
  <si>
    <t>旅費</t>
  </si>
  <si>
    <t>運費</t>
  </si>
  <si>
    <t>郵電費</t>
  </si>
  <si>
    <t>修繕費</t>
  </si>
  <si>
    <t>廣告費</t>
  </si>
  <si>
    <t>水電瓦斯費</t>
  </si>
  <si>
    <t>保險費</t>
  </si>
  <si>
    <t>產物險</t>
  </si>
  <si>
    <t>交際費</t>
  </si>
  <si>
    <t>捐贈</t>
  </si>
  <si>
    <t>稅捐</t>
  </si>
  <si>
    <t>呆帳損失</t>
  </si>
  <si>
    <t>折舊</t>
  </si>
  <si>
    <t>各項耗竭及攤提</t>
  </si>
  <si>
    <t>外銷損失</t>
  </si>
  <si>
    <t>伙食費</t>
  </si>
  <si>
    <t>職工福利</t>
  </si>
  <si>
    <t>研-耗材費用</t>
  </si>
  <si>
    <t>研-薪資費用</t>
  </si>
  <si>
    <t>研-租金支出</t>
  </si>
  <si>
    <t>研-文具用品</t>
  </si>
  <si>
    <t>研-旅費</t>
  </si>
  <si>
    <t>研-運費</t>
  </si>
  <si>
    <t>研-郵電費</t>
  </si>
  <si>
    <t>研-修繕費</t>
  </si>
  <si>
    <t>研-水電瓦斯費</t>
  </si>
  <si>
    <t>研-保險費</t>
  </si>
  <si>
    <t>研-交際費</t>
  </si>
  <si>
    <t>研-稅捐</t>
  </si>
  <si>
    <t>研-折舊</t>
  </si>
  <si>
    <t>研-各項耗竭及攤提</t>
  </si>
  <si>
    <t>研-伙食費</t>
  </si>
  <si>
    <t>研-職工福利</t>
  </si>
  <si>
    <t>研-權利金</t>
  </si>
  <si>
    <t>研-勞務費</t>
  </si>
  <si>
    <t>研-訓練費</t>
  </si>
  <si>
    <t>其他研究發展費用</t>
  </si>
  <si>
    <t>佣金支出</t>
  </si>
  <si>
    <t>訓練費</t>
  </si>
  <si>
    <t>什費</t>
  </si>
  <si>
    <t>交通費</t>
  </si>
  <si>
    <t>什項購置</t>
  </si>
  <si>
    <t>書報雜誌</t>
  </si>
  <si>
    <t>加班費</t>
  </si>
  <si>
    <t>勞務費</t>
  </si>
  <si>
    <t>退職金</t>
  </si>
  <si>
    <t>包裝費</t>
  </si>
  <si>
    <t>樣品費</t>
  </si>
  <si>
    <t>公會及事業費</t>
  </si>
  <si>
    <t>燃料費</t>
  </si>
  <si>
    <t>出口費用</t>
  </si>
  <si>
    <t>房屋費用</t>
  </si>
  <si>
    <t>土地費用</t>
  </si>
  <si>
    <t>銷售費用</t>
  </si>
  <si>
    <t>勞工退休金</t>
  </si>
  <si>
    <t>參展費</t>
  </si>
  <si>
    <t>保固費用</t>
  </si>
  <si>
    <t>投資收益及一般股息紅利(含國外)</t>
  </si>
  <si>
    <t>股利盈餘淨額(國內)(所42條)</t>
  </si>
  <si>
    <t>租賃收入</t>
  </si>
  <si>
    <t>出售資產盈餘</t>
  </si>
  <si>
    <t>佣金收入</t>
  </si>
  <si>
    <t>兌換盈益</t>
  </si>
  <si>
    <t>出售下腳及廢料收入</t>
  </si>
  <si>
    <t>免稅政府補助款</t>
  </si>
  <si>
    <t>退稅收入</t>
  </si>
  <si>
    <t>利息支出</t>
  </si>
  <si>
    <t>投資損失</t>
  </si>
  <si>
    <t>出售資產損失</t>
  </si>
  <si>
    <t>災害損失</t>
  </si>
  <si>
    <t>兌換虧損</t>
  </si>
  <si>
    <t>民國一一三年十二月三十一日及一一二年十二月三十一日</t>
    <phoneticPr fontId="2" type="noConversion"/>
  </si>
  <si>
    <t>一一三年十二月三十一日</t>
    <phoneticPr fontId="2" type="noConversion"/>
  </si>
  <si>
    <t>)(</t>
  </si>
  <si>
    <t>民國一一三年一月一日至十二月三十一日</t>
    <phoneticPr fontId="2" type="noConversion"/>
  </si>
  <si>
    <t>及一一二年一月一日至十二月三十一日</t>
    <phoneticPr fontId="2" type="noConversion"/>
  </si>
  <si>
    <t>一一三年度</t>
    <phoneticPr fontId="2" type="noConversion"/>
  </si>
  <si>
    <t>營業淨利(損)</t>
    <phoneticPr fontId="2" type="noConversion"/>
  </si>
  <si>
    <t>本期其他綜合損益</t>
  </si>
  <si>
    <t>本期綜合損益總額</t>
    <phoneticPr fontId="2" type="noConversion"/>
  </si>
  <si>
    <t>一一三年一月一日餘額</t>
    <phoneticPr fontId="2" type="noConversion"/>
  </si>
  <si>
    <t>一一三年十二月三十一日餘額</t>
    <phoneticPr fontId="2" type="noConversion"/>
  </si>
  <si>
    <t>113年度</t>
    <phoneticPr fontId="9" type="noConversion"/>
  </si>
  <si>
    <r>
      <t>113</t>
    </r>
    <r>
      <rPr>
        <b/>
        <sz val="12"/>
        <rFont val="細明體"/>
        <family val="3"/>
        <charset val="136"/>
      </rPr>
      <t>年</t>
    </r>
    <phoneticPr fontId="9" type="noConversion"/>
  </si>
  <si>
    <t>預收貨款</t>
    <phoneticPr fontId="2" type="noConversion"/>
  </si>
  <si>
    <t>本期稅前淨利(損)</t>
    <phoneticPr fontId="2" type="noConversion"/>
  </si>
  <si>
    <t>其他應收款減少</t>
    <phoneticPr fontId="2" type="noConversion"/>
  </si>
  <si>
    <t>預付款項減少</t>
    <phoneticPr fontId="2" type="noConversion"/>
  </si>
  <si>
    <t>其他流動資產(增加)減少</t>
    <phoneticPr fontId="2" type="noConversion"/>
  </si>
  <si>
    <t>應付票據減少</t>
    <phoneticPr fontId="2" type="noConversion"/>
  </si>
  <si>
    <t>應付帳款(減少)增加</t>
    <phoneticPr fontId="2" type="noConversion"/>
  </si>
  <si>
    <t>預收款項增加</t>
    <phoneticPr fontId="9" type="noConversion"/>
  </si>
  <si>
    <t>其他流動負債增加</t>
    <phoneticPr fontId="2" type="noConversion"/>
  </si>
  <si>
    <t>營業活動之淨現金流出</t>
    <phoneticPr fontId="2" type="noConversion"/>
  </si>
  <si>
    <t>預付設備款增加</t>
    <phoneticPr fontId="2" type="noConversion"/>
  </si>
  <si>
    <t>短期借款增加(減少)</t>
    <phoneticPr fontId="2" type="noConversion"/>
  </si>
  <si>
    <r>
      <t>112</t>
    </r>
    <r>
      <rPr>
        <b/>
        <sz val="11"/>
        <rFont val="標楷體"/>
        <family val="4"/>
        <charset val="136"/>
      </rPr>
      <t>年</t>
    </r>
    <r>
      <rPr>
        <b/>
        <sz val="11"/>
        <rFont val="Times New Roman"/>
        <family val="1"/>
      </rPr>
      <t>1</t>
    </r>
    <r>
      <rPr>
        <b/>
        <sz val="11"/>
        <rFont val="標楷體"/>
        <family val="4"/>
        <charset val="136"/>
      </rPr>
      <t>月</t>
    </r>
    <r>
      <rPr>
        <b/>
        <sz val="11"/>
        <rFont val="Times New Roman"/>
        <family val="1"/>
      </rPr>
      <t>1</t>
    </r>
    <r>
      <rPr>
        <b/>
        <sz val="11"/>
        <rFont val="標楷體"/>
        <family val="4"/>
        <charset val="136"/>
      </rPr>
      <t>日</t>
    </r>
    <r>
      <rPr>
        <b/>
        <sz val="11"/>
        <rFont val="Times New Roman"/>
        <family val="1"/>
      </rPr>
      <t xml:space="preserve"> </t>
    </r>
    <phoneticPr fontId="9" type="noConversion"/>
  </si>
  <si>
    <r>
      <t>112</t>
    </r>
    <r>
      <rPr>
        <b/>
        <sz val="11"/>
        <rFont val="標楷體"/>
        <family val="4"/>
        <charset val="136"/>
      </rPr>
      <t>年</t>
    </r>
    <r>
      <rPr>
        <b/>
        <sz val="11"/>
        <rFont val="Times New Roman"/>
        <family val="1"/>
      </rPr>
      <t>12</t>
    </r>
    <r>
      <rPr>
        <b/>
        <sz val="11"/>
        <rFont val="標楷體"/>
        <family val="4"/>
        <charset val="136"/>
      </rPr>
      <t>月</t>
    </r>
    <r>
      <rPr>
        <b/>
        <sz val="11"/>
        <rFont val="Times New Roman"/>
        <family val="1"/>
      </rPr>
      <t>31</t>
    </r>
    <r>
      <rPr>
        <b/>
        <sz val="11"/>
        <rFont val="標楷體"/>
        <family val="4"/>
        <charset val="136"/>
      </rPr>
      <t>日</t>
    </r>
    <r>
      <rPr>
        <b/>
        <sz val="11"/>
        <rFont val="Times New Roman"/>
        <family val="1"/>
      </rPr>
      <t xml:space="preserve"> </t>
    </r>
    <phoneticPr fontId="9" type="noConversion"/>
  </si>
  <si>
    <r>
      <t>113</t>
    </r>
    <r>
      <rPr>
        <b/>
        <sz val="11"/>
        <rFont val="標楷體"/>
        <family val="4"/>
        <charset val="136"/>
      </rPr>
      <t>年</t>
    </r>
    <r>
      <rPr>
        <b/>
        <sz val="11"/>
        <rFont val="Times New Roman"/>
        <family val="1"/>
      </rPr>
      <t>12</t>
    </r>
    <r>
      <rPr>
        <b/>
        <sz val="11"/>
        <rFont val="標楷體"/>
        <family val="4"/>
        <charset val="136"/>
      </rPr>
      <t>月</t>
    </r>
    <r>
      <rPr>
        <b/>
        <sz val="11"/>
        <rFont val="Times New Roman"/>
        <family val="1"/>
      </rPr>
      <t>31</t>
    </r>
    <r>
      <rPr>
        <b/>
        <sz val="11"/>
        <rFont val="標楷體"/>
        <family val="4"/>
        <charset val="136"/>
      </rPr>
      <t>日</t>
    </r>
    <phoneticPr fontId="9" type="noConversion"/>
  </si>
  <si>
    <r>
      <t>112</t>
    </r>
    <r>
      <rPr>
        <b/>
        <sz val="11"/>
        <rFont val="標楷體"/>
        <family val="4"/>
        <charset val="136"/>
      </rPr>
      <t>年</t>
    </r>
    <r>
      <rPr>
        <b/>
        <sz val="11"/>
        <rFont val="Times New Roman"/>
        <family val="1"/>
      </rPr>
      <t>1</t>
    </r>
    <r>
      <rPr>
        <b/>
        <sz val="11"/>
        <rFont val="標楷體"/>
        <family val="4"/>
        <charset val="136"/>
      </rPr>
      <t>月</t>
    </r>
    <r>
      <rPr>
        <b/>
        <sz val="11"/>
        <rFont val="Times New Roman"/>
        <family val="1"/>
      </rPr>
      <t>1</t>
    </r>
    <r>
      <rPr>
        <b/>
        <sz val="11"/>
        <rFont val="標楷體"/>
        <family val="4"/>
        <charset val="136"/>
      </rPr>
      <t>日</t>
    </r>
    <phoneticPr fontId="9" type="noConversion"/>
  </si>
  <si>
    <t>$</t>
    <phoneticPr fontId="9" type="noConversion"/>
  </si>
  <si>
    <t>(一)現金及約當現金</t>
  </si>
  <si>
    <r>
      <t>(</t>
    </r>
    <r>
      <rPr>
        <b/>
        <sz val="12"/>
        <rFont val="標楷體"/>
        <family val="4"/>
        <charset val="136"/>
      </rPr>
      <t>九</t>
    </r>
    <r>
      <rPr>
        <b/>
        <sz val="12"/>
        <rFont val="Times New Roman"/>
        <family val="1"/>
      </rPr>
      <t>)</t>
    </r>
    <r>
      <rPr>
        <b/>
        <sz val="12"/>
        <rFont val="標楷體"/>
        <family val="4"/>
        <charset val="136"/>
      </rPr>
      <t>所</t>
    </r>
    <r>
      <rPr>
        <b/>
        <sz val="12"/>
        <rFont val="Times New Roman"/>
        <family val="1"/>
      </rPr>
      <t xml:space="preserve">  </t>
    </r>
    <r>
      <rPr>
        <b/>
        <sz val="12"/>
        <rFont val="標楷體"/>
        <family val="4"/>
        <charset val="136"/>
      </rPr>
      <t>得</t>
    </r>
    <r>
      <rPr>
        <b/>
        <sz val="12"/>
        <rFont val="Times New Roman"/>
        <family val="1"/>
      </rPr>
      <t xml:space="preserve">  </t>
    </r>
    <r>
      <rPr>
        <b/>
        <sz val="12"/>
        <rFont val="標楷體"/>
        <family val="4"/>
        <charset val="136"/>
      </rPr>
      <t>稅</t>
    </r>
  </si>
  <si>
    <t>一一二年底</t>
    <phoneticPr fontId="9" type="noConversion"/>
  </si>
  <si>
    <t>一一一年底</t>
  </si>
  <si>
    <t>庫存現金</t>
  </si>
  <si>
    <t>銀行存款</t>
    <phoneticPr fontId="9" type="noConversion"/>
  </si>
  <si>
    <t>當期所得稅費用</t>
  </si>
  <si>
    <t>合　　計</t>
  </si>
  <si>
    <t>遞延所稅費用(利益)</t>
    <phoneticPr fontId="9" type="noConversion"/>
  </si>
  <si>
    <t>(</t>
    <phoneticPr fontId="9" type="noConversion"/>
  </si>
  <si>
    <t>(二)應收票據</t>
  </si>
  <si>
    <t>所得稅(利益)費用合計</t>
    <phoneticPr fontId="9" type="noConversion"/>
  </si>
  <si>
    <r>
      <t xml:space="preserve">2. </t>
    </r>
    <r>
      <rPr>
        <b/>
        <sz val="12"/>
        <rFont val="標楷體"/>
        <family val="4"/>
        <charset val="136"/>
      </rPr>
      <t>本期所得稅負債</t>
    </r>
    <r>
      <rPr>
        <b/>
        <sz val="12"/>
        <rFont val="Times New Roman"/>
        <family val="1"/>
      </rPr>
      <t>(</t>
    </r>
    <r>
      <rPr>
        <b/>
        <sz val="12"/>
        <rFont val="標楷體"/>
        <family val="4"/>
        <charset val="136"/>
      </rPr>
      <t>資產</t>
    </r>
    <r>
      <rPr>
        <b/>
        <sz val="12"/>
        <rFont val="Times New Roman"/>
        <family val="1"/>
      </rPr>
      <t>)</t>
    </r>
    <r>
      <rPr>
        <b/>
        <sz val="12"/>
        <rFont val="標楷體"/>
        <family val="4"/>
        <charset val="136"/>
      </rPr>
      <t>調節如下：</t>
    </r>
  </si>
  <si>
    <t>–</t>
  </si>
  <si>
    <t>稅前淨利</t>
    <phoneticPr fontId="9" type="noConversion"/>
  </si>
  <si>
    <t>加：依稅法規定調整數</t>
  </si>
  <si>
    <t>(三)應收帳款</t>
  </si>
  <si>
    <t>課稅所得額</t>
  </si>
  <si>
    <t>所得稅率</t>
    <phoneticPr fontId="9" type="noConversion"/>
  </si>
  <si>
    <r>
      <t>加：未分配盈餘加徵</t>
    </r>
    <r>
      <rPr>
        <b/>
        <sz val="12"/>
        <rFont val="Times New Roman"/>
        <family val="1"/>
      </rPr>
      <t>5%</t>
    </r>
  </si>
  <si>
    <t>當期所得稅費用小計</t>
  </si>
  <si>
    <t>減：暫繳稅額</t>
  </si>
  <si>
    <t>(</t>
  </si>
  <si>
    <t>3. 遞延所得稅資產(負債)餘額如下：</t>
    <phoneticPr fontId="9" type="noConversion"/>
  </si>
  <si>
    <r>
      <t xml:space="preserve">3. </t>
    </r>
    <r>
      <rPr>
        <b/>
        <sz val="12"/>
        <rFont val="標楷體"/>
        <family val="4"/>
        <charset val="136"/>
      </rPr>
      <t>未分配盈餘（待彌補虧損）情形如下：</t>
    </r>
    <phoneticPr fontId="9" type="noConversion"/>
  </si>
  <si>
    <t>八十六年度以前</t>
  </si>
  <si>
    <t>八十七年度以後</t>
  </si>
  <si>
    <t>減：一年內到期部份</t>
  </si>
  <si>
    <t>減：銷貨退回</t>
  </si>
  <si>
    <t xml:space="preserve">) </t>
  </si>
  <si>
    <t>減：銷貨折讓</t>
  </si>
  <si>
    <t>(二)與關係人間之重大交易事項</t>
  </si>
  <si>
    <t>其他應付款</t>
    <phoneticPr fontId="9" type="noConversion"/>
  </si>
  <si>
    <t>六、質抵押之資產：</t>
  </si>
  <si>
    <t>建築物</t>
  </si>
  <si>
    <t>功能別</t>
    <phoneticPr fontId="9" type="noConversion"/>
  </si>
  <si>
    <t>一一二年度</t>
    <phoneticPr fontId="60" type="noConversion"/>
  </si>
  <si>
    <t>屬於營業</t>
    <phoneticPr fontId="9" type="noConversion"/>
  </si>
  <si>
    <r>
      <rPr>
        <b/>
        <sz val="10"/>
        <rFont val="標楷體"/>
        <family val="4"/>
        <charset val="136"/>
      </rPr>
      <t>屬於營業</t>
    </r>
  </si>
  <si>
    <r>
      <rPr>
        <b/>
        <sz val="10"/>
        <rFont val="標楷體"/>
        <family val="4"/>
        <charset val="136"/>
      </rPr>
      <t>合計</t>
    </r>
  </si>
  <si>
    <t>費用別</t>
    <phoneticPr fontId="9" type="noConversion"/>
  </si>
  <si>
    <t>成本者</t>
    <phoneticPr fontId="9" type="noConversion"/>
  </si>
  <si>
    <r>
      <rPr>
        <b/>
        <sz val="10"/>
        <rFont val="標楷體"/>
        <family val="4"/>
        <charset val="136"/>
      </rPr>
      <t>費用者</t>
    </r>
  </si>
  <si>
    <r>
      <rPr>
        <b/>
        <sz val="10"/>
        <rFont val="標楷體"/>
        <family val="4"/>
        <charset val="136"/>
      </rPr>
      <t>成本者</t>
    </r>
  </si>
  <si>
    <r>
      <rPr>
        <b/>
        <sz val="10"/>
        <rFont val="標楷體"/>
        <family val="4"/>
        <charset val="136"/>
      </rPr>
      <t>用人費用</t>
    </r>
  </si>
  <si>
    <r>
      <rPr>
        <b/>
        <sz val="10"/>
        <rFont val="標楷體"/>
        <family val="4"/>
        <charset val="136"/>
      </rPr>
      <t>薪資費用</t>
    </r>
  </si>
  <si>
    <r>
      <rPr>
        <b/>
        <sz val="10"/>
        <rFont val="標楷體"/>
        <family val="4"/>
        <charset val="136"/>
      </rPr>
      <t>勞健保費用</t>
    </r>
  </si>
  <si>
    <r>
      <rPr>
        <b/>
        <sz val="10"/>
        <rFont val="標楷體"/>
        <family val="4"/>
        <charset val="136"/>
      </rPr>
      <t>退休金費用</t>
    </r>
  </si>
  <si>
    <t>其他用人費用</t>
  </si>
  <si>
    <t>折舊費用</t>
  </si>
  <si>
    <t>攤銷費用</t>
  </si>
  <si>
    <r>
      <rPr>
        <sz val="10"/>
        <rFont val="標楷體"/>
        <family val="4"/>
        <charset val="136"/>
      </rPr>
      <t>加班費</t>
    </r>
    <phoneticPr fontId="60" type="noConversion"/>
  </si>
  <si>
    <r>
      <rPr>
        <sz val="10"/>
        <rFont val="標楷體"/>
        <family val="4"/>
        <charset val="136"/>
      </rPr>
      <t>伙食費</t>
    </r>
    <phoneticPr fontId="60" type="noConversion"/>
  </si>
  <si>
    <t>製-伙 食 費</t>
  </si>
  <si>
    <t>製-保 險 費</t>
  </si>
  <si>
    <t>保 險 費</t>
  </si>
  <si>
    <t>伙 食 費</t>
  </si>
  <si>
    <t>成本</t>
    <phoneticPr fontId="9" type="noConversion"/>
  </si>
  <si>
    <t>費用</t>
    <phoneticPr fontId="9" type="noConversion"/>
  </si>
  <si>
    <t>保險費</t>
    <phoneticPr fontId="9" type="noConversion"/>
  </si>
  <si>
    <t>退職金</t>
    <phoneticPr fontId="9" type="noConversion"/>
  </si>
  <si>
    <t>一一三年底</t>
    <phoneticPr fontId="9" type="noConversion"/>
  </si>
  <si>
    <t>(四)其他應收帳款</t>
    <phoneticPr fontId="9" type="noConversion"/>
  </si>
  <si>
    <t>其他應收帳款</t>
    <phoneticPr fontId="9" type="noConversion"/>
  </si>
  <si>
    <t>(五)存貨</t>
    <phoneticPr fontId="9" type="noConversion"/>
  </si>
  <si>
    <t>(六)預付款項</t>
    <phoneticPr fontId="9" type="noConversion"/>
  </si>
  <si>
    <t>進項稅額</t>
    <phoneticPr fontId="9" type="noConversion"/>
  </si>
  <si>
    <t>留抵稅額</t>
    <phoneticPr fontId="9" type="noConversion"/>
  </si>
  <si>
    <t>–</t>
    <phoneticPr fontId="9" type="noConversion"/>
  </si>
  <si>
    <t>(八)無形資產</t>
    <phoneticPr fontId="9" type="noConversion"/>
  </si>
  <si>
    <t>無形資產</t>
    <phoneticPr fontId="9" type="noConversion"/>
  </si>
  <si>
    <t>累計攤折</t>
    <phoneticPr fontId="9" type="noConversion"/>
  </si>
  <si>
    <t>存出保證金</t>
    <phoneticPr fontId="9" type="noConversion"/>
  </si>
  <si>
    <t>(九)存出保證金</t>
    <phoneticPr fontId="9" type="noConversion"/>
  </si>
  <si>
    <t>應付票據</t>
    <phoneticPr fontId="9" type="noConversion"/>
  </si>
  <si>
    <t>其他應付費用</t>
    <phoneticPr fontId="9" type="noConversion"/>
  </si>
  <si>
    <t>應付勞健保</t>
    <phoneticPr fontId="9" type="noConversion"/>
  </si>
  <si>
    <t>應付勞退</t>
    <phoneticPr fontId="9" type="noConversion"/>
  </si>
  <si>
    <t>(十三)其他流動負債</t>
    <phoneticPr fontId="9" type="noConversion"/>
  </si>
  <si>
    <t>代收款</t>
    <phoneticPr fontId="9" type="noConversion"/>
  </si>
  <si>
    <t>中長期擔保借款</t>
  </si>
  <si>
    <t>合計</t>
    <phoneticPr fontId="9" type="noConversion"/>
  </si>
  <si>
    <t>2.095%~2.45%</t>
    <phoneticPr fontId="9" type="noConversion"/>
  </si>
  <si>
    <t>借款利率</t>
    <phoneticPr fontId="9" type="noConversion"/>
  </si>
  <si>
    <t>發行股本溢價</t>
    <phoneticPr fontId="9" type="noConversion"/>
  </si>
  <si>
    <t>(十四)銀行借款</t>
    <phoneticPr fontId="9" type="noConversion"/>
  </si>
  <si>
    <t>(十五)資本公積</t>
    <phoneticPr fontId="9" type="noConversion"/>
  </si>
  <si>
    <t>20%</t>
    <phoneticPr fontId="9" type="noConversion"/>
  </si>
  <si>
    <t>(十)預付設備款</t>
    <phoneticPr fontId="9" type="noConversion"/>
  </si>
  <si>
    <t>(十一)應付票據</t>
    <phoneticPr fontId="9" type="noConversion"/>
  </si>
  <si>
    <t>(十二)應付帳款</t>
    <phoneticPr fontId="9" type="noConversion"/>
  </si>
  <si>
    <t>2.22~2.575%</t>
    <phoneticPr fontId="9" type="noConversion"/>
  </si>
  <si>
    <t>(十三)其他應付款</t>
    <phoneticPr fontId="9" type="noConversion"/>
  </si>
  <si>
    <r>
      <t xml:space="preserve">1. </t>
    </r>
    <r>
      <rPr>
        <b/>
        <sz val="12"/>
        <rFont val="標楷體"/>
        <family val="4"/>
        <charset val="136"/>
      </rPr>
      <t>所得稅費用組成如下：</t>
    </r>
    <phoneticPr fontId="9" type="noConversion"/>
  </si>
  <si>
    <t>一一三年度</t>
    <phoneticPr fontId="60" type="noConversion"/>
  </si>
  <si>
    <t>減：前十年核定虧損本年度扣除額</t>
    <phoneticPr fontId="9" type="noConversion"/>
  </si>
  <si>
    <t>預付設備款(附註四(十))</t>
    <phoneticPr fontId="2" type="noConversion"/>
  </si>
  <si>
    <t>應付票據(附註四(十一))</t>
    <phoneticPr fontId="2" type="noConversion"/>
  </si>
  <si>
    <t>應付帳款(附註四(十二))</t>
    <phoneticPr fontId="2" type="noConversion"/>
  </si>
  <si>
    <t>其他應付款(附註四(十三))</t>
    <phoneticPr fontId="2" type="noConversion"/>
  </si>
  <si>
    <t>營業毛利(損)</t>
    <phoneticPr fontId="2" type="noConversion"/>
  </si>
  <si>
    <t>稅前淨利(損)</t>
    <phoneticPr fontId="2" type="noConversion"/>
  </si>
  <si>
    <t>所得稅利益(費用)(附註四(十八))</t>
    <phoneticPr fontId="2" type="noConversion"/>
  </si>
  <si>
    <t>本期稅後淨利</t>
    <phoneticPr fontId="2" type="noConversion"/>
  </si>
  <si>
    <t>本期所得稅資產(應收退稅款)</t>
    <phoneticPr fontId="9" type="noConversion"/>
  </si>
  <si>
    <t>-</t>
    <phoneticPr fontId="9" type="noConversion"/>
  </si>
  <si>
    <t>其他設備</t>
    <phoneticPr fontId="9" type="noConversion"/>
  </si>
  <si>
    <t>房屋及建築</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</si>
</sst>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1" formatCode="_-* #,##0_-;\-* #,##0_-;_-* &quot;-&quot;_-;_-@_-"/>
    <numFmt numFmtId="43" formatCode="_-* #,##0.00_-;\-* #,##0.00_-;_-* &quot;-&quot;??_-;_-@_-"/>
    <numFmt numFmtId="176" formatCode="#,##0_);[Red]\(#,##0\)"/>
    <numFmt numFmtId="177" formatCode="#,##0;[Red]#,##0"/>
    <numFmt numFmtId="178" formatCode="0.00;[Red]0.00"/>
    <numFmt numFmtId="179" formatCode="#,##0.0;[Red]#,##0.0"/>
    <numFmt numFmtId="180" formatCode="0.0;[Red]0.0"/>
    <numFmt numFmtId="181" formatCode="_-* #,##0_-;\-* #,##0_-;_-* &quot;-&quot;??_-;_-@_-"/>
    <numFmt numFmtId="182" formatCode="#,##0_);\(#,##0\)"/>
    <numFmt numFmtId="183" formatCode="0_);[Red]\(0\)"/>
    <numFmt numFmtId="184" formatCode="0_ "/>
    <numFmt numFmtId="185" formatCode="_(* #,##0_);[Red]\(#,##0\);_(* &quot;-&quot;??_);_(@_)"/>
    <numFmt numFmtId="186" formatCode="0;[Red]0"/>
    <numFmt numFmtId="187" formatCode="_(* #,##0.0_);[Red]\(#,##0.0\);_(* &quot;-&quot;??_);_(@_)"/>
    <numFmt numFmtId="188" formatCode="_(* #,##0.00_);[Red]\(#,##0.00\);_(* &quot;-&quot;??_);_(@_)"/>
  </numFmts>
  <fonts count="65">
    <font>
      <sz val="12"/>
      <name val="新細明體"/>
      <family val="1"/>
      <charset val="136"/>
    </font>
    <font>
      <sz val="12"/>
      <name val="新細明體"/>
      <family val="1"/>
      <charset val="136"/>
    </font>
    <font>
      <sz val="9"/>
      <name val="細明體"/>
      <family val="3"/>
      <charset val="136"/>
    </font>
    <font>
      <b/>
      <sz val="12"/>
      <name val="標楷體"/>
      <family val="4"/>
      <charset val="136"/>
    </font>
    <font>
      <b/>
      <sz val="12"/>
      <name val="Book Antiqua"/>
      <family val="1"/>
    </font>
    <font>
      <b/>
      <sz val="12"/>
      <name val="Times New Roman"/>
      <family val="1"/>
    </font>
    <font>
      <b/>
      <u/>
      <sz val="12"/>
      <name val="標楷體"/>
      <family val="4"/>
      <charset val="136"/>
    </font>
    <font>
      <b/>
      <sz val="14"/>
      <name val="標楷體"/>
      <family val="4"/>
      <charset val="136"/>
    </font>
    <font>
      <b/>
      <sz val="14"/>
      <name val="Book Antiqua"/>
      <family val="1"/>
    </font>
    <font>
      <sz val="9"/>
      <name val="新細明體"/>
      <family val="1"/>
      <charset val="136"/>
    </font>
    <font>
      <b/>
      <sz val="12"/>
      <name val="細明體"/>
      <family val="3"/>
      <charset val="136"/>
    </font>
    <font>
      <b/>
      <u/>
      <sz val="12"/>
      <name val="Book Antiqua"/>
      <family val="1"/>
    </font>
    <font>
      <sz val="12"/>
      <name val="標楷體"/>
      <family val="4"/>
      <charset val="136"/>
    </font>
    <font>
      <b/>
      <sz val="12"/>
      <name val="新細明體"/>
      <family val="1"/>
      <charset val="136"/>
    </font>
    <font>
      <sz val="12"/>
      <name val="Times New Roman"/>
      <family val="1"/>
    </font>
    <font>
      <sz val="12"/>
      <name val="Book Antiqua"/>
      <family val="1"/>
    </font>
    <font>
      <b/>
      <sz val="9"/>
      <color indexed="81"/>
      <name val="Tahoma"/>
      <family val="2"/>
    </font>
    <font>
      <sz val="9"/>
      <color indexed="81"/>
      <name val="Tahoma"/>
      <family val="2"/>
    </font>
    <font>
      <sz val="9"/>
      <color indexed="81"/>
      <name val="細明體"/>
      <family val="3"/>
      <charset val="136"/>
    </font>
    <font>
      <b/>
      <sz val="16"/>
      <name val="Book Antiqua"/>
      <family val="1"/>
    </font>
    <font>
      <b/>
      <sz val="16"/>
      <name val="標楷體"/>
      <family val="4"/>
      <charset val="136"/>
    </font>
    <font>
      <sz val="10"/>
      <name val="Arial"/>
      <family val="2"/>
    </font>
    <font>
      <b/>
      <u/>
      <sz val="16"/>
      <name val="標楷體"/>
      <family val="4"/>
      <charset val="136"/>
    </font>
    <font>
      <sz val="12"/>
      <color indexed="8"/>
      <name val="Book Antiqua"/>
      <family val="1"/>
    </font>
    <font>
      <sz val="12"/>
      <color indexed="8"/>
      <name val="標楷體"/>
      <family val="4"/>
      <charset val="136"/>
    </font>
    <font>
      <b/>
      <sz val="14"/>
      <color indexed="8"/>
      <name val="標楷體"/>
      <family val="4"/>
      <charset val="136"/>
    </font>
    <font>
      <b/>
      <sz val="12"/>
      <color indexed="8"/>
      <name val="標楷體"/>
      <family val="4"/>
      <charset val="136"/>
    </font>
    <font>
      <sz val="12"/>
      <color indexed="56"/>
      <name val="ˎ̥"/>
      <family val="2"/>
    </font>
    <font>
      <b/>
      <sz val="12"/>
      <color indexed="56"/>
      <name val="ˎ̥"/>
      <family val="2"/>
    </font>
    <font>
      <sz val="12"/>
      <color indexed="56"/>
      <name val="細明體"/>
      <family val="3"/>
      <charset val="136"/>
    </font>
    <font>
      <b/>
      <sz val="12"/>
      <color indexed="56"/>
      <name val="細明體"/>
      <family val="3"/>
      <charset val="136"/>
    </font>
    <font>
      <b/>
      <sz val="12"/>
      <color indexed="8"/>
      <name val="Book Antiqua"/>
      <family val="1"/>
    </font>
    <font>
      <sz val="12"/>
      <name val="細明體"/>
      <family val="3"/>
      <charset val="136"/>
    </font>
    <font>
      <sz val="12"/>
      <color indexed="56"/>
      <name val="Book Antiqua"/>
      <family val="1"/>
    </font>
    <font>
      <b/>
      <sz val="14"/>
      <color indexed="8"/>
      <name val="Book Antiqua"/>
      <family val="1"/>
    </font>
    <font>
      <b/>
      <sz val="12"/>
      <name val="Book Antiqua"/>
      <family val="4"/>
      <charset val="136"/>
    </font>
    <font>
      <b/>
      <sz val="10"/>
      <name val="標楷體"/>
      <family val="4"/>
      <charset val="136"/>
    </font>
    <font>
      <sz val="10"/>
      <name val="標楷體"/>
      <family val="4"/>
      <charset val="136"/>
    </font>
    <font>
      <sz val="10"/>
      <name val="Times New Roman"/>
      <family val="1"/>
    </font>
    <font>
      <b/>
      <sz val="12"/>
      <name val="新細明體"/>
      <family val="4"/>
      <charset val="136"/>
    </font>
    <font>
      <b/>
      <sz val="12"/>
      <name val="Book Antiqua"/>
      <family val="4"/>
    </font>
    <font>
      <b/>
      <sz val="12"/>
      <name val="Bppl"/>
    </font>
    <font>
      <b/>
      <sz val="12"/>
      <name val="Bppl"/>
      <family val="2"/>
    </font>
    <font>
      <b/>
      <sz val="20"/>
      <name val="微軟正黑體"/>
      <family val="2"/>
      <charset val="136"/>
    </font>
    <font>
      <sz val="12"/>
      <name val="微軟正黑體"/>
      <family val="2"/>
      <charset val="136"/>
    </font>
    <font>
      <b/>
      <sz val="10"/>
      <name val="微軟正黑體"/>
      <family val="2"/>
      <charset val="136"/>
    </font>
    <font>
      <sz val="10"/>
      <name val="微軟正黑體"/>
      <family val="2"/>
      <charset val="136"/>
    </font>
    <font>
      <b/>
      <sz val="12"/>
      <name val="微軟正黑體"/>
      <family val="2"/>
      <charset val="136"/>
    </font>
    <font>
      <b/>
      <sz val="10"/>
      <name val="Trebuchet MS"/>
      <family val="2"/>
    </font>
    <font>
      <sz val="10"/>
      <name val="Trebuchet MS"/>
      <family val="2"/>
    </font>
    <font>
      <b/>
      <sz val="11"/>
      <name val="標楷體"/>
      <family val="4"/>
      <charset val="136"/>
    </font>
    <font>
      <b/>
      <sz val="11"/>
      <name val="Times New Roman"/>
      <family val="1"/>
    </font>
    <font>
      <b/>
      <u/>
      <sz val="11"/>
      <name val="標楷體"/>
      <family val="4"/>
      <charset val="136"/>
    </font>
    <font>
      <b/>
      <u/>
      <sz val="11"/>
      <name val="Times New Roman"/>
      <family val="1"/>
    </font>
    <font>
      <sz val="11"/>
      <name val="Times New Roman"/>
      <family val="1"/>
    </font>
    <font>
      <b/>
      <sz val="10"/>
      <name val="細明體"/>
      <family val="3"/>
      <charset val="136"/>
    </font>
    <font>
      <sz val="16"/>
      <name val="標楷體"/>
      <family val="4"/>
      <charset val="136"/>
    </font>
    <font>
      <sz val="11"/>
      <color theme="1"/>
      <name val="新細明體"/>
      <family val="2"/>
      <scheme val="minor"/>
    </font>
    <font>
      <sz val="11"/>
      <color theme="1"/>
      <name val="Times New Roman"/>
      <family val="1"/>
    </font>
    <font>
      <b/>
      <sz val="10"/>
      <color theme="1"/>
      <name val="標楷體"/>
      <family val="4"/>
      <charset val="136"/>
    </font>
    <font>
      <sz val="9"/>
      <name val="新細明體"/>
      <family val="3"/>
      <charset val="136"/>
      <scheme val="minor"/>
    </font>
    <font>
      <b/>
      <sz val="11"/>
      <color theme="1"/>
      <name val="標楷體"/>
      <family val="4"/>
      <charset val="136"/>
    </font>
    <font>
      <b/>
      <sz val="10"/>
      <name val="Times New Roman"/>
      <family val="1"/>
    </font>
    <font>
      <sz val="9"/>
      <color theme="1"/>
      <name val="Times New Roman"/>
      <family val="1"/>
    </font>
    <font>
      <sz val="9"/>
      <color theme="1"/>
      <name val="Microsoft JhengHei"/>
      <family val="1"/>
    </font>
  </fonts>
  <fills count="15">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2" tint="-0.249977111117893"/>
        <bgColor indexed="64"/>
      </patternFill>
    </fill>
    <fill>
      <patternFill patternType="solid">
        <fgColor theme="1" tint="0.499984740745262"/>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rgb="FFFFFF00"/>
        <bgColor indexed="64"/>
      </patternFill>
    </fill>
    <fill>
      <patternFill patternType="solid">
        <fgColor theme="7" tint="0.39997558519241921"/>
        <bgColor indexed="64"/>
      </patternFill>
    </fill>
  </fills>
  <borders count="35">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top style="thin">
        <color indexed="64"/>
      </top>
      <bottom/>
      <diagonal/>
    </border>
    <border>
      <left/>
      <right/>
      <top/>
      <bottom style="double">
        <color indexed="64"/>
      </bottom>
      <diagonal/>
    </border>
    <border>
      <left/>
      <right/>
      <top style="medium">
        <color indexed="64"/>
      </top>
      <bottom style="double">
        <color indexed="64"/>
      </bottom>
      <diagonal/>
    </border>
    <border>
      <left/>
      <right/>
      <top style="medium">
        <color indexed="64"/>
      </top>
      <bottom/>
      <diagonal/>
    </border>
    <border>
      <left style="medium">
        <color indexed="64"/>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top style="double">
        <color indexed="64"/>
      </top>
      <bottom/>
      <diagonal/>
    </border>
    <border>
      <left/>
      <right style="thick">
        <color indexed="64"/>
      </right>
      <top style="medium">
        <color indexed="64"/>
      </top>
      <bottom style="thin">
        <color indexed="64"/>
      </bottom>
      <diagonal/>
    </border>
  </borders>
  <cellStyleXfs count="12">
    <xf numFmtId="0" fontId="0" fillId="0" borderId="0"/>
    <xf numFmtId="43" fontId="1" fillId="0" borderId="0" applyFont="0" applyFill="0" applyBorder="0" applyAlignment="0" applyProtection="0"/>
    <xf numFmtId="43" fontId="1" fillId="0" borderId="0" applyFont="0" applyFill="0" applyBorder="0" applyAlignment="0" applyProtection="0"/>
    <xf numFmtId="0" fontId="1" fillId="0" borderId="0">
      <alignment vertical="center"/>
    </xf>
    <xf numFmtId="43" fontId="1" fillId="0" borderId="0" applyFont="0" applyFill="0" applyBorder="0" applyAlignment="0" applyProtection="0">
      <alignment vertical="center"/>
    </xf>
    <xf numFmtId="0" fontId="21" fillId="0" borderId="0"/>
    <xf numFmtId="0" fontId="1" fillId="0" borderId="0">
      <alignment vertical="center"/>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9" fontId="1" fillId="0" borderId="0" applyFont="0" applyFill="0" applyBorder="0" applyAlignment="0" applyProtection="0">
      <alignment vertical="center"/>
    </xf>
    <xf numFmtId="0" fontId="57" fillId="0" borderId="0"/>
  </cellStyleXfs>
  <cellXfs count="536">
    <xf numFmtId="0" fontId="0" fillId="0" borderId="0" xfId="0"/>
    <xf numFmtId="0" fontId="4" fillId="0" borderId="0" xfId="0" applyFont="1"/>
    <xf numFmtId="0" fontId="3" fillId="0" borderId="0" xfId="0" applyFont="1"/>
    <xf numFmtId="177" fontId="4" fillId="0" borderId="0" xfId="0" applyNumberFormat="1" applyFont="1"/>
    <xf numFmtId="177" fontId="4" fillId="0" borderId="1" xfId="0" applyNumberFormat="1" applyFont="1" applyBorder="1"/>
    <xf numFmtId="0" fontId="4" fillId="0" borderId="2" xfId="0" applyFont="1" applyBorder="1"/>
    <xf numFmtId="177" fontId="4" fillId="0" borderId="2" xfId="0" applyNumberFormat="1" applyFont="1" applyBorder="1"/>
    <xf numFmtId="177" fontId="3" fillId="0" borderId="0" xfId="0" applyNumberFormat="1" applyFont="1"/>
    <xf numFmtId="0" fontId="4" fillId="0" borderId="0" xfId="0" applyFont="1" applyAlignment="1">
      <alignment horizontal="right"/>
    </xf>
    <xf numFmtId="0" fontId="4" fillId="0" borderId="0" xfId="0" applyFont="1" applyAlignment="1">
      <alignment horizontal="left"/>
    </xf>
    <xf numFmtId="0" fontId="4" fillId="0" borderId="0" xfId="0" applyFont="1" applyAlignment="1">
      <alignment horizontal="distributed"/>
    </xf>
    <xf numFmtId="177" fontId="4" fillId="0" borderId="0" xfId="0" applyNumberFormat="1" applyFont="1" applyAlignment="1">
      <alignment horizontal="distributed"/>
    </xf>
    <xf numFmtId="0" fontId="3" fillId="0" borderId="0" xfId="0" applyFont="1" applyAlignment="1">
      <alignment horizontal="distributed"/>
    </xf>
    <xf numFmtId="3" fontId="4" fillId="0" borderId="0" xfId="0" applyNumberFormat="1" applyFont="1"/>
    <xf numFmtId="3" fontId="4" fillId="0" borderId="2" xfId="0" applyNumberFormat="1" applyFont="1" applyBorder="1"/>
    <xf numFmtId="3" fontId="4" fillId="0" borderId="4" xfId="0" applyNumberFormat="1" applyFont="1" applyBorder="1"/>
    <xf numFmtId="0" fontId="3" fillId="0" borderId="0" xfId="0" applyFont="1" applyAlignment="1">
      <alignment horizontal="left" indent="2"/>
    </xf>
    <xf numFmtId="177" fontId="4" fillId="0" borderId="5" xfId="0" applyNumberFormat="1" applyFont="1" applyBorder="1"/>
    <xf numFmtId="0" fontId="3" fillId="0" borderId="0" xfId="0" applyFont="1" applyAlignment="1">
      <alignment horizontal="left"/>
    </xf>
    <xf numFmtId="0" fontId="3" fillId="0" borderId="0" xfId="0" applyFont="1" applyAlignment="1">
      <alignment shrinkToFit="1"/>
    </xf>
    <xf numFmtId="0" fontId="6" fillId="0" borderId="0" xfId="0" applyFont="1" applyAlignment="1">
      <alignment horizontal="left"/>
    </xf>
    <xf numFmtId="179" fontId="3" fillId="0" borderId="0" xfId="0" applyNumberFormat="1" applyFont="1"/>
    <xf numFmtId="179" fontId="4" fillId="0" borderId="0" xfId="0" applyNumberFormat="1" applyFont="1"/>
    <xf numFmtId="180" fontId="3" fillId="0" borderId="0" xfId="0" applyNumberFormat="1" applyFont="1" applyAlignment="1">
      <alignment horizontal="center"/>
    </xf>
    <xf numFmtId="177" fontId="4" fillId="0" borderId="0" xfId="0" applyNumberFormat="1" applyFont="1" applyAlignment="1">
      <alignment horizontal="right"/>
    </xf>
    <xf numFmtId="177" fontId="4" fillId="0" borderId="4" xfId="0" applyNumberFormat="1" applyFont="1" applyBorder="1"/>
    <xf numFmtId="0" fontId="8" fillId="0" borderId="0" xfId="0" applyFont="1"/>
    <xf numFmtId="180" fontId="3" fillId="0" borderId="0" xfId="0" applyNumberFormat="1" applyFont="1"/>
    <xf numFmtId="0" fontId="3" fillId="0" borderId="0" xfId="0" applyFont="1" applyAlignment="1">
      <alignment horizontal="left" shrinkToFit="1"/>
    </xf>
    <xf numFmtId="177" fontId="3" fillId="0" borderId="0" xfId="0" applyNumberFormat="1" applyFont="1" applyAlignment="1">
      <alignment horizontal="right" shrinkToFit="1"/>
    </xf>
    <xf numFmtId="179" fontId="4" fillId="0" borderId="1" xfId="0" applyNumberFormat="1" applyFont="1" applyBorder="1" applyAlignment="1">
      <alignment horizontal="center"/>
    </xf>
    <xf numFmtId="177" fontId="4" fillId="0" borderId="0" xfId="0" applyNumberFormat="1" applyFont="1" applyAlignment="1">
      <alignment wrapText="1"/>
    </xf>
    <xf numFmtId="177" fontId="3" fillId="0" borderId="0" xfId="0" applyNumberFormat="1" applyFont="1" applyAlignment="1">
      <alignment wrapText="1"/>
    </xf>
    <xf numFmtId="0" fontId="3" fillId="0" borderId="0" xfId="0" applyFont="1" applyAlignment="1">
      <alignment horizontal="right" shrinkToFit="1"/>
    </xf>
    <xf numFmtId="180" fontId="4" fillId="0" borderId="0" xfId="0" applyNumberFormat="1" applyFont="1" applyAlignment="1">
      <alignment horizontal="center"/>
    </xf>
    <xf numFmtId="0" fontId="4" fillId="0" borderId="0" xfId="0" applyFont="1" applyAlignment="1">
      <alignment horizontal="left" indent="2"/>
    </xf>
    <xf numFmtId="177" fontId="4" fillId="0" borderId="1" xfId="1" applyNumberFormat="1" applyFont="1" applyBorder="1"/>
    <xf numFmtId="41" fontId="4" fillId="0" borderId="0" xfId="1" applyNumberFormat="1" applyFont="1" applyBorder="1"/>
    <xf numFmtId="41" fontId="4" fillId="0" borderId="0" xfId="0" applyNumberFormat="1" applyFont="1"/>
    <xf numFmtId="176" fontId="4" fillId="0" borderId="0" xfId="0" applyNumberFormat="1" applyFont="1" applyAlignment="1">
      <alignment horizontal="distributed"/>
    </xf>
    <xf numFmtId="0" fontId="4" fillId="0" borderId="1" xfId="0" applyFont="1" applyBorder="1"/>
    <xf numFmtId="3" fontId="4" fillId="0" borderId="0" xfId="0" applyNumberFormat="1" applyFont="1" applyAlignment="1">
      <alignment horizontal="right" wrapText="1"/>
    </xf>
    <xf numFmtId="0" fontId="4" fillId="0" borderId="0" xfId="0" applyFont="1" applyAlignment="1">
      <alignment wrapText="1"/>
    </xf>
    <xf numFmtId="0" fontId="3" fillId="0" borderId="0" xfId="0" applyFont="1" applyAlignment="1">
      <alignment horizontal="right" wrapText="1"/>
    </xf>
    <xf numFmtId="3" fontId="4" fillId="0" borderId="6" xfId="0" applyNumberFormat="1" applyFont="1" applyBorder="1" applyAlignment="1">
      <alignment horizontal="right" wrapText="1"/>
    </xf>
    <xf numFmtId="0" fontId="11" fillId="0" borderId="0" xfId="0" applyFont="1" applyAlignment="1">
      <alignment horizontal="left"/>
    </xf>
    <xf numFmtId="0" fontId="4" fillId="0" borderId="0" xfId="0" applyFont="1" applyAlignment="1">
      <alignment horizontal="left" wrapText="1" indent="1"/>
    </xf>
    <xf numFmtId="180" fontId="3" fillId="0" borderId="0" xfId="0" applyNumberFormat="1" applyFont="1" applyAlignment="1">
      <alignment horizontal="left"/>
    </xf>
    <xf numFmtId="0" fontId="3" fillId="0" borderId="0" xfId="0" applyFont="1" applyAlignment="1">
      <alignment horizontal="left" indent="1"/>
    </xf>
    <xf numFmtId="0" fontId="4" fillId="0" borderId="0" xfId="0" applyFont="1" applyAlignment="1">
      <alignment horizontal="left" indent="1"/>
    </xf>
    <xf numFmtId="0" fontId="4" fillId="0" borderId="0" xfId="0" applyFont="1" applyAlignment="1">
      <alignment horizontal="justify" wrapText="1"/>
    </xf>
    <xf numFmtId="0" fontId="4" fillId="0" borderId="7" xfId="0" applyFont="1" applyBorder="1" applyAlignment="1">
      <alignment horizontal="justify" wrapText="1"/>
    </xf>
    <xf numFmtId="3" fontId="4" fillId="0" borderId="7" xfId="0" applyNumberFormat="1" applyFont="1" applyBorder="1" applyAlignment="1">
      <alignment horizontal="right" wrapText="1"/>
    </xf>
    <xf numFmtId="0" fontId="4" fillId="0" borderId="6" xfId="0" applyFont="1" applyBorder="1" applyAlignment="1">
      <alignment horizontal="justify" wrapText="1"/>
    </xf>
    <xf numFmtId="0" fontId="3" fillId="0" borderId="0" xfId="0" applyFont="1" applyAlignment="1">
      <alignment horizontal="center"/>
    </xf>
    <xf numFmtId="0" fontId="12" fillId="0" borderId="0" xfId="0" applyFont="1"/>
    <xf numFmtId="0" fontId="12" fillId="0" borderId="1" xfId="0" applyFont="1" applyBorder="1"/>
    <xf numFmtId="0" fontId="12" fillId="0" borderId="2" xfId="0" applyFont="1" applyBorder="1"/>
    <xf numFmtId="0" fontId="12" fillId="0" borderId="0" xfId="0" applyFont="1" applyAlignment="1">
      <alignment horizontal="center"/>
    </xf>
    <xf numFmtId="0" fontId="12" fillId="0" borderId="1" xfId="0" applyFont="1" applyBorder="1" applyAlignment="1">
      <alignment horizontal="center"/>
    </xf>
    <xf numFmtId="177" fontId="3" fillId="0" borderId="0" xfId="0" applyNumberFormat="1" applyFont="1" applyAlignment="1">
      <alignment horizontal="left" indent="1"/>
    </xf>
    <xf numFmtId="0" fontId="1" fillId="0" borderId="0" xfId="3">
      <alignment vertical="center"/>
    </xf>
    <xf numFmtId="176" fontId="15" fillId="0" borderId="0" xfId="4" applyNumberFormat="1" applyFont="1">
      <alignment vertical="center"/>
    </xf>
    <xf numFmtId="176" fontId="15" fillId="0" borderId="0" xfId="4" applyNumberFormat="1" applyFont="1" applyAlignment="1">
      <alignment vertical="center" shrinkToFit="1"/>
    </xf>
    <xf numFmtId="0" fontId="15" fillId="0" borderId="0" xfId="5" applyFont="1" applyAlignment="1">
      <alignment vertical="top"/>
    </xf>
    <xf numFmtId="183" fontId="12" fillId="0" borderId="0" xfId="5" applyNumberFormat="1" applyFont="1" applyAlignment="1">
      <alignment horizontal="left" vertical="top" shrinkToFit="1"/>
    </xf>
    <xf numFmtId="176" fontId="12" fillId="0" borderId="0" xfId="4" applyNumberFormat="1" applyFont="1" applyBorder="1" applyAlignment="1">
      <alignment vertical="top" wrapText="1" shrinkToFit="1"/>
    </xf>
    <xf numFmtId="176" fontId="12" fillId="0" borderId="0" xfId="4" applyNumberFormat="1" applyFont="1" applyBorder="1" applyAlignment="1">
      <alignment vertical="top" shrinkToFit="1"/>
    </xf>
    <xf numFmtId="0" fontId="15" fillId="0" borderId="0" xfId="3" applyFont="1">
      <alignment vertical="center"/>
    </xf>
    <xf numFmtId="176" fontId="23" fillId="0" borderId="19" xfId="5" applyNumberFormat="1" applyFont="1" applyBorder="1" applyAlignment="1">
      <alignment horizontal="center" vertical="center" wrapText="1"/>
    </xf>
    <xf numFmtId="176" fontId="23" fillId="0" borderId="19" xfId="5" applyNumberFormat="1" applyFont="1" applyBorder="1" applyAlignment="1">
      <alignment horizontal="center" vertical="center" shrinkToFit="1"/>
    </xf>
    <xf numFmtId="176" fontId="23" fillId="0" borderId="23" xfId="5" quotePrefix="1" applyNumberFormat="1" applyFont="1" applyBorder="1" applyAlignment="1">
      <alignment horizontal="center" vertical="center" wrapText="1"/>
    </xf>
    <xf numFmtId="176" fontId="23" fillId="0" borderId="23" xfId="5" quotePrefix="1" applyNumberFormat="1" applyFont="1" applyBorder="1" applyAlignment="1">
      <alignment horizontal="center" vertical="center" shrinkToFit="1"/>
    </xf>
    <xf numFmtId="49" fontId="23" fillId="0" borderId="17" xfId="5" applyNumberFormat="1" applyFont="1" applyBorder="1" applyAlignment="1">
      <alignment vertical="top" wrapText="1"/>
    </xf>
    <xf numFmtId="49" fontId="23" fillId="0" borderId="16" xfId="5" applyNumberFormat="1" applyFont="1" applyBorder="1" applyAlignment="1">
      <alignment vertical="top" wrapText="1"/>
    </xf>
    <xf numFmtId="183" fontId="25" fillId="0" borderId="16" xfId="5" applyNumberFormat="1" applyFont="1" applyBorder="1" applyAlignment="1">
      <alignment horizontal="left" vertical="top" shrinkToFit="1"/>
    </xf>
    <xf numFmtId="176" fontId="23" fillId="0" borderId="16" xfId="4" applyNumberFormat="1" applyFont="1" applyFill="1" applyBorder="1" applyAlignment="1" applyProtection="1">
      <alignment vertical="top" wrapText="1" shrinkToFit="1"/>
    </xf>
    <xf numFmtId="176" fontId="23" fillId="0" borderId="16" xfId="4" applyNumberFormat="1" applyFont="1" applyFill="1" applyBorder="1" applyAlignment="1" applyProtection="1">
      <alignment vertical="top" shrinkToFit="1"/>
    </xf>
    <xf numFmtId="183" fontId="26" fillId="0" borderId="16" xfId="5" applyNumberFormat="1" applyFont="1" applyBorder="1" applyAlignment="1">
      <alignment horizontal="left" vertical="top" shrinkToFit="1"/>
    </xf>
    <xf numFmtId="0" fontId="27" fillId="0" borderId="0" xfId="3" applyFont="1">
      <alignment vertical="center"/>
    </xf>
    <xf numFmtId="183" fontId="24" fillId="0" borderId="16" xfId="5" applyNumberFormat="1" applyFont="1" applyBorder="1" applyAlignment="1">
      <alignment horizontal="left" vertical="top" shrinkToFit="1"/>
    </xf>
    <xf numFmtId="0" fontId="28" fillId="11" borderId="0" xfId="3" applyFont="1" applyFill="1">
      <alignment vertical="center"/>
    </xf>
    <xf numFmtId="49" fontId="23" fillId="11" borderId="17" xfId="5" applyNumberFormat="1" applyFont="1" applyFill="1" applyBorder="1" applyAlignment="1">
      <alignment vertical="top" wrapText="1"/>
    </xf>
    <xf numFmtId="49" fontId="23" fillId="11" borderId="16" xfId="5" applyNumberFormat="1" applyFont="1" applyFill="1" applyBorder="1" applyAlignment="1">
      <alignment vertical="top" wrapText="1"/>
    </xf>
    <xf numFmtId="183" fontId="24" fillId="11" borderId="16" xfId="5" applyNumberFormat="1" applyFont="1" applyFill="1" applyBorder="1" applyAlignment="1">
      <alignment horizontal="left" vertical="top" shrinkToFit="1"/>
    </xf>
    <xf numFmtId="176" fontId="23" fillId="11" borderId="16" xfId="4" applyNumberFormat="1" applyFont="1" applyFill="1" applyBorder="1" applyAlignment="1" applyProtection="1">
      <alignment vertical="top" wrapText="1" shrinkToFit="1"/>
    </xf>
    <xf numFmtId="176" fontId="23" fillId="11" borderId="16" xfId="4" applyNumberFormat="1" applyFont="1" applyFill="1" applyBorder="1" applyAlignment="1" applyProtection="1">
      <alignment vertical="top" shrinkToFit="1"/>
    </xf>
    <xf numFmtId="0" fontId="1" fillId="11" borderId="0" xfId="3" applyFill="1">
      <alignment vertical="center"/>
    </xf>
    <xf numFmtId="49" fontId="23" fillId="0" borderId="23" xfId="5" applyNumberFormat="1" applyFont="1" applyBorder="1" applyAlignment="1">
      <alignment vertical="top" wrapText="1"/>
    </xf>
    <xf numFmtId="183" fontId="24" fillId="0" borderId="23" xfId="5" applyNumberFormat="1" applyFont="1" applyBorder="1" applyAlignment="1">
      <alignment horizontal="left" vertical="top" shrinkToFit="1"/>
    </xf>
    <xf numFmtId="176" fontId="23" fillId="0" borderId="23" xfId="4" applyNumberFormat="1" applyFont="1" applyFill="1" applyBorder="1" applyAlignment="1" applyProtection="1">
      <alignment vertical="top" wrapText="1" shrinkToFit="1"/>
    </xf>
    <xf numFmtId="176" fontId="23" fillId="0" borderId="23" xfId="4" applyNumberFormat="1" applyFont="1" applyFill="1" applyBorder="1" applyAlignment="1" applyProtection="1">
      <alignment vertical="top" shrinkToFit="1"/>
    </xf>
    <xf numFmtId="49" fontId="23" fillId="11" borderId="24" xfId="5" applyNumberFormat="1" applyFont="1" applyFill="1" applyBorder="1" applyAlignment="1">
      <alignment vertical="top" wrapText="1"/>
    </xf>
    <xf numFmtId="49" fontId="23" fillId="0" borderId="24" xfId="5" applyNumberFormat="1" applyFont="1" applyBorder="1" applyAlignment="1">
      <alignment horizontal="center" vertical="top" wrapText="1"/>
    </xf>
    <xf numFmtId="49" fontId="23" fillId="11" borderId="17" xfId="5" applyNumberFormat="1" applyFont="1" applyFill="1" applyBorder="1" applyAlignment="1">
      <alignment vertical="top" shrinkToFit="1"/>
    </xf>
    <xf numFmtId="49" fontId="23" fillId="0" borderId="24" xfId="5" applyNumberFormat="1" applyFont="1" applyBorder="1" applyAlignment="1">
      <alignment vertical="top" wrapText="1"/>
    </xf>
    <xf numFmtId="183" fontId="24" fillId="0" borderId="19" xfId="5" applyNumberFormat="1" applyFont="1" applyBorder="1" applyAlignment="1">
      <alignment horizontal="left" vertical="top" shrinkToFit="1"/>
    </xf>
    <xf numFmtId="49" fontId="23" fillId="11" borderId="16" xfId="5" applyNumberFormat="1" applyFont="1" applyFill="1" applyBorder="1" applyAlignment="1">
      <alignment vertical="top" shrinkToFit="1"/>
    </xf>
    <xf numFmtId="49" fontId="31" fillId="11" borderId="16" xfId="5" applyNumberFormat="1" applyFont="1" applyFill="1" applyBorder="1" applyAlignment="1">
      <alignment vertical="top" wrapText="1"/>
    </xf>
    <xf numFmtId="183" fontId="26" fillId="11" borderId="16" xfId="5" applyNumberFormat="1" applyFont="1" applyFill="1" applyBorder="1" applyAlignment="1">
      <alignment horizontal="left" vertical="top" shrinkToFit="1"/>
    </xf>
    <xf numFmtId="176" fontId="31" fillId="11" borderId="16" xfId="4" applyNumberFormat="1" applyFont="1" applyFill="1" applyBorder="1" applyAlignment="1" applyProtection="1">
      <alignment vertical="top" shrinkToFit="1"/>
    </xf>
    <xf numFmtId="0" fontId="13" fillId="11" borderId="0" xfId="3" applyFont="1" applyFill="1">
      <alignment vertical="center"/>
    </xf>
    <xf numFmtId="183" fontId="12" fillId="0" borderId="0" xfId="3" applyNumberFormat="1" applyFont="1" applyAlignment="1">
      <alignment horizontal="left" vertical="center" shrinkToFit="1"/>
    </xf>
    <xf numFmtId="0" fontId="1" fillId="0" borderId="0" xfId="6">
      <alignment vertical="center"/>
    </xf>
    <xf numFmtId="0" fontId="0" fillId="0" borderId="0" xfId="6" applyFont="1" applyAlignment="1">
      <alignment horizontal="left" vertical="center"/>
    </xf>
    <xf numFmtId="0" fontId="22" fillId="0" borderId="0" xfId="5" applyFont="1" applyAlignment="1">
      <alignment vertical="top"/>
    </xf>
    <xf numFmtId="0" fontId="12" fillId="0" borderId="0" xfId="5" applyFont="1" applyAlignment="1">
      <alignment horizontal="justify" vertical="top"/>
    </xf>
    <xf numFmtId="49" fontId="23" fillId="0" borderId="17" xfId="5" applyNumberFormat="1" applyFont="1" applyBorder="1" applyAlignment="1">
      <alignment horizontal="center" vertical="center" wrapText="1"/>
    </xf>
    <xf numFmtId="0" fontId="15" fillId="0" borderId="0" xfId="6" applyFont="1">
      <alignment vertical="center"/>
    </xf>
    <xf numFmtId="0" fontId="32" fillId="0" borderId="0" xfId="6" applyFont="1">
      <alignment vertical="center"/>
    </xf>
    <xf numFmtId="0" fontId="12" fillId="0" borderId="0" xfId="6" applyFont="1" applyAlignment="1">
      <alignment vertical="top" shrinkToFit="1"/>
    </xf>
    <xf numFmtId="0" fontId="12" fillId="0" borderId="16" xfId="6" applyFont="1" applyBorder="1" applyAlignment="1">
      <alignment horizontal="left" vertical="top" shrinkToFit="1"/>
    </xf>
    <xf numFmtId="49" fontId="23" fillId="0" borderId="16" xfId="6" applyNumberFormat="1" applyFont="1" applyBorder="1" applyAlignment="1">
      <alignment vertical="top" wrapText="1"/>
    </xf>
    <xf numFmtId="184" fontId="26" fillId="0" borderId="16" xfId="6" applyNumberFormat="1" applyFont="1" applyBorder="1" applyAlignment="1">
      <alignment vertical="top" shrinkToFit="1"/>
    </xf>
    <xf numFmtId="176" fontId="23" fillId="0" borderId="16" xfId="6" applyNumberFormat="1" applyFont="1" applyBorder="1" applyAlignment="1">
      <alignment vertical="top" wrapText="1" shrinkToFit="1"/>
    </xf>
    <xf numFmtId="0" fontId="12" fillId="0" borderId="0" xfId="6" applyFont="1" applyAlignment="1">
      <alignment vertical="top"/>
    </xf>
    <xf numFmtId="0" fontId="3" fillId="0" borderId="0" xfId="6" applyFont="1" applyAlignment="1">
      <alignment vertical="top" shrinkToFit="1"/>
    </xf>
    <xf numFmtId="49" fontId="31" fillId="0" borderId="16" xfId="6" applyNumberFormat="1" applyFont="1" applyBorder="1" applyAlignment="1">
      <alignment vertical="top" wrapText="1"/>
    </xf>
    <xf numFmtId="176" fontId="31" fillId="0" borderId="16" xfId="6" applyNumberFormat="1" applyFont="1" applyBorder="1" applyAlignment="1">
      <alignment vertical="top" wrapText="1" shrinkToFit="1"/>
    </xf>
    <xf numFmtId="0" fontId="3" fillId="0" borderId="0" xfId="6" applyFont="1" applyAlignment="1">
      <alignment vertical="top"/>
    </xf>
    <xf numFmtId="0" fontId="27" fillId="0" borderId="0" xfId="6" applyFont="1" applyAlignment="1">
      <alignment vertical="center" shrinkToFit="1"/>
    </xf>
    <xf numFmtId="0" fontId="27" fillId="0" borderId="16" xfId="6" applyFont="1" applyBorder="1" applyAlignment="1">
      <alignment horizontal="left" vertical="center" shrinkToFit="1"/>
    </xf>
    <xf numFmtId="184" fontId="24" fillId="0" borderId="16" xfId="6" applyNumberFormat="1" applyFont="1" applyBorder="1" applyAlignment="1">
      <alignment vertical="top" shrinkToFit="1"/>
    </xf>
    <xf numFmtId="176" fontId="12" fillId="0" borderId="0" xfId="6" applyNumberFormat="1" applyFont="1" applyAlignment="1">
      <alignment vertical="top"/>
    </xf>
    <xf numFmtId="49" fontId="28" fillId="11" borderId="0" xfId="6" applyNumberFormat="1" applyFont="1" applyFill="1" applyAlignment="1">
      <alignment vertical="center" shrinkToFit="1"/>
    </xf>
    <xf numFmtId="49" fontId="33" fillId="11" borderId="16" xfId="6" applyNumberFormat="1" applyFont="1" applyFill="1" applyBorder="1" applyAlignment="1">
      <alignment horizontal="left" vertical="center" shrinkToFit="1"/>
    </xf>
    <xf numFmtId="49" fontId="23" fillId="11" borderId="16" xfId="6" applyNumberFormat="1" applyFont="1" applyFill="1" applyBorder="1" applyAlignment="1">
      <alignment vertical="top" wrapText="1"/>
    </xf>
    <xf numFmtId="184" fontId="24" fillId="11" borderId="16" xfId="6" applyNumberFormat="1" applyFont="1" applyFill="1" applyBorder="1" applyAlignment="1">
      <alignment vertical="top" shrinkToFit="1"/>
    </xf>
    <xf numFmtId="176" fontId="23" fillId="11" borderId="16" xfId="6" applyNumberFormat="1" applyFont="1" applyFill="1" applyBorder="1" applyAlignment="1">
      <alignment vertical="top" wrapText="1" shrinkToFit="1"/>
    </xf>
    <xf numFmtId="0" fontId="12" fillId="11" borderId="0" xfId="6" applyFont="1" applyFill="1" applyAlignment="1">
      <alignment vertical="top"/>
    </xf>
    <xf numFmtId="0" fontId="33" fillId="0" borderId="16" xfId="6" applyFont="1" applyBorder="1" applyAlignment="1">
      <alignment horizontal="left" vertical="center" shrinkToFit="1"/>
    </xf>
    <xf numFmtId="0" fontId="28" fillId="11" borderId="0" xfId="6" applyFont="1" applyFill="1" applyAlignment="1">
      <alignment vertical="center" shrinkToFit="1"/>
    </xf>
    <xf numFmtId="0" fontId="33" fillId="11" borderId="16" xfId="6" applyFont="1" applyFill="1" applyBorder="1" applyAlignment="1">
      <alignment horizontal="left" vertical="center" shrinkToFit="1"/>
    </xf>
    <xf numFmtId="49" fontId="34" fillId="0" borderId="16" xfId="6" applyNumberFormat="1" applyFont="1" applyBorder="1" applyAlignment="1">
      <alignment vertical="top" wrapText="1"/>
    </xf>
    <xf numFmtId="184" fontId="25" fillId="0" borderId="16" xfId="6" applyNumberFormat="1" applyFont="1" applyBorder="1" applyAlignment="1">
      <alignment vertical="top" shrinkToFit="1"/>
    </xf>
    <xf numFmtId="0" fontId="7" fillId="0" borderId="0" xfId="6" applyFont="1" applyAlignment="1">
      <alignment vertical="top"/>
    </xf>
    <xf numFmtId="0" fontId="28" fillId="0" borderId="0" xfId="6" applyFont="1" applyAlignment="1">
      <alignment vertical="center" shrinkToFit="1"/>
    </xf>
    <xf numFmtId="0" fontId="28" fillId="11" borderId="17" xfId="6" applyFont="1" applyFill="1" applyBorder="1" applyAlignment="1">
      <alignment vertical="center" shrinkToFit="1"/>
    </xf>
    <xf numFmtId="0" fontId="27" fillId="11" borderId="16" xfId="6" applyFont="1" applyFill="1" applyBorder="1" applyAlignment="1">
      <alignment horizontal="left" vertical="center" shrinkToFit="1"/>
    </xf>
    <xf numFmtId="184" fontId="26" fillId="11" borderId="16" xfId="6" applyNumberFormat="1" applyFont="1" applyFill="1" applyBorder="1" applyAlignment="1">
      <alignment vertical="top" shrinkToFit="1"/>
    </xf>
    <xf numFmtId="0" fontId="1" fillId="0" borderId="0" xfId="6" applyAlignment="1">
      <alignment vertical="center" shrinkToFit="1"/>
    </xf>
    <xf numFmtId="0" fontId="0" fillId="0" borderId="0" xfId="6" applyFont="1" applyAlignment="1">
      <alignment horizontal="left" vertical="center" shrinkToFit="1"/>
    </xf>
    <xf numFmtId="184" fontId="1" fillId="0" borderId="0" xfId="6" applyNumberFormat="1" applyAlignment="1">
      <alignment vertical="center" shrinkToFit="1"/>
    </xf>
    <xf numFmtId="176" fontId="15" fillId="0" borderId="0" xfId="6" applyNumberFormat="1" applyFont="1">
      <alignment vertical="center"/>
    </xf>
    <xf numFmtId="178" fontId="7" fillId="0" borderId="0" xfId="0" applyNumberFormat="1" applyFont="1" applyAlignment="1">
      <alignment horizontal="center"/>
    </xf>
    <xf numFmtId="180" fontId="3" fillId="0" borderId="0" xfId="0" applyNumberFormat="1" applyFont="1" applyAlignment="1">
      <alignment horizontal="right"/>
    </xf>
    <xf numFmtId="0" fontId="3" fillId="0" borderId="0" xfId="0" applyFont="1" applyAlignment="1">
      <alignment horizontal="right"/>
    </xf>
    <xf numFmtId="0" fontId="3" fillId="0" borderId="1" xfId="0" applyFont="1" applyBorder="1" applyAlignment="1">
      <alignment horizontal="distributed"/>
    </xf>
    <xf numFmtId="179" fontId="4" fillId="0" borderId="4" xfId="0" applyNumberFormat="1" applyFont="1" applyBorder="1"/>
    <xf numFmtId="0" fontId="4" fillId="0" borderId="4" xfId="0" applyFont="1" applyBorder="1"/>
    <xf numFmtId="177" fontId="4" fillId="0" borderId="0" xfId="0" applyNumberFormat="1" applyFont="1" applyAlignment="1">
      <alignment vertical="top" wrapText="1"/>
    </xf>
    <xf numFmtId="177" fontId="4" fillId="0" borderId="0" xfId="0" applyNumberFormat="1" applyFont="1" applyAlignment="1">
      <alignment vertical="top"/>
    </xf>
    <xf numFmtId="177" fontId="3" fillId="0" borderId="0" xfId="0" applyNumberFormat="1" applyFont="1" applyAlignment="1">
      <alignment vertical="top" wrapText="1"/>
    </xf>
    <xf numFmtId="177" fontId="3" fillId="0" borderId="0" xfId="0" applyNumberFormat="1" applyFont="1" applyAlignment="1">
      <alignment vertical="top"/>
    </xf>
    <xf numFmtId="0" fontId="10" fillId="0" borderId="0" xfId="0" applyFont="1"/>
    <xf numFmtId="177" fontId="3" fillId="0" borderId="0" xfId="0" applyNumberFormat="1" applyFont="1" applyAlignment="1">
      <alignment horizontal="center"/>
    </xf>
    <xf numFmtId="177" fontId="5" fillId="0" borderId="0" xfId="0" applyNumberFormat="1" applyFont="1"/>
    <xf numFmtId="0" fontId="5" fillId="0" borderId="0" xfId="0" applyFont="1" applyAlignment="1">
      <alignment horizontal="distributed"/>
    </xf>
    <xf numFmtId="179" fontId="5" fillId="0" borderId="0" xfId="0" applyNumberFormat="1" applyFont="1"/>
    <xf numFmtId="0" fontId="5" fillId="0" borderId="0" xfId="0" applyFont="1"/>
    <xf numFmtId="0" fontId="5" fillId="0" borderId="0" xfId="0" applyFont="1" applyAlignment="1">
      <alignment horizontal="right"/>
    </xf>
    <xf numFmtId="177" fontId="5" fillId="0" borderId="2" xfId="0" applyNumberFormat="1" applyFont="1" applyBorder="1"/>
    <xf numFmtId="179" fontId="5" fillId="0" borderId="2" xfId="0" applyNumberFormat="1" applyFont="1" applyBorder="1"/>
    <xf numFmtId="0" fontId="5" fillId="0" borderId="2" xfId="0" applyFont="1" applyBorder="1"/>
    <xf numFmtId="3" fontId="5" fillId="0" borderId="0" xfId="0" applyNumberFormat="1" applyFont="1"/>
    <xf numFmtId="3" fontId="5" fillId="0" borderId="2" xfId="0" applyNumberFormat="1" applyFont="1" applyBorder="1"/>
    <xf numFmtId="177" fontId="5" fillId="0" borderId="5" xfId="0" applyNumberFormat="1" applyFont="1" applyBorder="1"/>
    <xf numFmtId="179" fontId="5" fillId="0" borderId="5" xfId="0" applyNumberFormat="1" applyFont="1" applyBorder="1"/>
    <xf numFmtId="180" fontId="5" fillId="0" borderId="0" xfId="0" applyNumberFormat="1" applyFont="1"/>
    <xf numFmtId="0" fontId="5" fillId="0" borderId="0" xfId="0" applyFont="1" applyAlignment="1">
      <alignment horizontal="left"/>
    </xf>
    <xf numFmtId="180" fontId="5" fillId="0" borderId="2" xfId="0" applyNumberFormat="1" applyFont="1" applyBorder="1"/>
    <xf numFmtId="180" fontId="5" fillId="0" borderId="5" xfId="0" applyNumberFormat="1" applyFont="1" applyBorder="1"/>
    <xf numFmtId="177" fontId="5" fillId="0" borderId="0" xfId="0" applyNumberFormat="1" applyFont="1" applyAlignment="1">
      <alignment horizontal="distributed"/>
    </xf>
    <xf numFmtId="0" fontId="6" fillId="0" borderId="0" xfId="0" applyFont="1" applyAlignment="1">
      <alignment horizontal="left" indent="1"/>
    </xf>
    <xf numFmtId="0" fontId="3" fillId="0" borderId="0" xfId="0" applyFont="1" applyAlignment="1">
      <alignment horizontal="left" wrapText="1" indent="1"/>
    </xf>
    <xf numFmtId="179" fontId="3" fillId="0" borderId="1" xfId="0" applyNumberFormat="1" applyFont="1" applyBorder="1" applyAlignment="1">
      <alignment horizontal="center"/>
    </xf>
    <xf numFmtId="41" fontId="14" fillId="0" borderId="0" xfId="0" applyNumberFormat="1" applyFont="1" applyAlignment="1">
      <alignment horizontal="right"/>
    </xf>
    <xf numFmtId="177" fontId="3" fillId="0" borderId="2" xfId="0" applyNumberFormat="1" applyFont="1" applyBorder="1" applyAlignment="1">
      <alignment horizontal="center"/>
    </xf>
    <xf numFmtId="177" fontId="7" fillId="0" borderId="0" xfId="0" applyNumberFormat="1" applyFont="1" applyAlignment="1">
      <alignment horizontal="center"/>
    </xf>
    <xf numFmtId="177" fontId="8" fillId="0" borderId="0" xfId="0" applyNumberFormat="1" applyFont="1" applyAlignment="1">
      <alignment horizontal="center"/>
    </xf>
    <xf numFmtId="0" fontId="14" fillId="0" borderId="0" xfId="0" applyFont="1" applyAlignment="1">
      <alignment horizontal="left"/>
    </xf>
    <xf numFmtId="177" fontId="5" fillId="0" borderId="0" xfId="0" applyNumberFormat="1" applyFont="1" applyAlignment="1">
      <alignment horizontal="right"/>
    </xf>
    <xf numFmtId="180" fontId="3" fillId="0" borderId="0" xfId="0" applyNumberFormat="1" applyFont="1" applyAlignment="1">
      <alignment vertical="center"/>
    </xf>
    <xf numFmtId="0" fontId="4" fillId="0" borderId="0" xfId="0" applyFont="1" applyAlignment="1">
      <alignment vertical="center"/>
    </xf>
    <xf numFmtId="177" fontId="4" fillId="0" borderId="0" xfId="0" applyNumberFormat="1" applyFont="1" applyAlignment="1">
      <alignment vertical="center"/>
    </xf>
    <xf numFmtId="177" fontId="5" fillId="0" borderId="0" xfId="0" applyNumberFormat="1" applyFont="1" applyAlignment="1">
      <alignment vertical="center"/>
    </xf>
    <xf numFmtId="177" fontId="3" fillId="0" borderId="0" xfId="0" applyNumberFormat="1" applyFont="1" applyAlignment="1">
      <alignment horizontal="left" vertical="center"/>
    </xf>
    <xf numFmtId="185" fontId="5" fillId="0" borderId="0" xfId="0" applyNumberFormat="1" applyFont="1" applyAlignment="1">
      <alignment horizontal="right" vertical="center"/>
    </xf>
    <xf numFmtId="185" fontId="5" fillId="0" borderId="0" xfId="0" applyNumberFormat="1" applyFont="1" applyAlignment="1">
      <alignment vertical="center"/>
    </xf>
    <xf numFmtId="177" fontId="5" fillId="0" borderId="0" xfId="0" applyNumberFormat="1" applyFont="1" applyAlignment="1">
      <alignment horizontal="right" vertical="center"/>
    </xf>
    <xf numFmtId="177" fontId="3" fillId="0" borderId="0" xfId="0" applyNumberFormat="1" applyFont="1" applyAlignment="1">
      <alignment vertical="center"/>
    </xf>
    <xf numFmtId="177" fontId="4" fillId="0" borderId="3" xfId="0" applyNumberFormat="1" applyFont="1" applyBorder="1" applyAlignment="1">
      <alignment vertical="center"/>
    </xf>
    <xf numFmtId="177" fontId="5" fillId="0" borderId="3" xfId="0" applyNumberFormat="1" applyFont="1" applyBorder="1" applyAlignment="1">
      <alignment vertical="center"/>
    </xf>
    <xf numFmtId="0" fontId="5" fillId="0" borderId="1" xfId="0" applyFont="1" applyBorder="1"/>
    <xf numFmtId="177" fontId="5" fillId="0" borderId="0" xfId="0" applyNumberFormat="1" applyFont="1" applyAlignment="1">
      <alignment horizontal="left"/>
    </xf>
    <xf numFmtId="0" fontId="5" fillId="0" borderId="4" xfId="0" applyFont="1" applyBorder="1"/>
    <xf numFmtId="0" fontId="4" fillId="0" borderId="0" xfId="0" applyFont="1" applyAlignment="1">
      <alignment horizontal="center"/>
    </xf>
    <xf numFmtId="41" fontId="4" fillId="0" borderId="0" xfId="0" applyNumberFormat="1" applyFont="1" applyAlignment="1">
      <alignment horizontal="distributed"/>
    </xf>
    <xf numFmtId="0" fontId="4" fillId="0" borderId="0" xfId="0" applyFont="1" applyAlignment="1">
      <alignment horizontal="distributed" vertical="center"/>
    </xf>
    <xf numFmtId="177" fontId="4" fillId="0" borderId="0" xfId="0" applyNumberFormat="1" applyFont="1" applyAlignment="1">
      <alignment horizontal="center"/>
    </xf>
    <xf numFmtId="0" fontId="4" fillId="0" borderId="5" xfId="0" applyFont="1" applyBorder="1" applyAlignment="1">
      <alignment horizontal="center"/>
    </xf>
    <xf numFmtId="0" fontId="4" fillId="0" borderId="3" xfId="0" applyFont="1" applyBorder="1" applyAlignment="1">
      <alignment horizontal="center"/>
    </xf>
    <xf numFmtId="0" fontId="43" fillId="0" borderId="0" xfId="0" applyFont="1" applyAlignment="1">
      <alignment horizontal="center"/>
    </xf>
    <xf numFmtId="0" fontId="44" fillId="0" borderId="0" xfId="0" applyFont="1"/>
    <xf numFmtId="0" fontId="45" fillId="0" borderId="8" xfId="0" applyFont="1" applyBorder="1"/>
    <xf numFmtId="0" fontId="45" fillId="0" borderId="7" xfId="0" applyFont="1" applyBorder="1"/>
    <xf numFmtId="0" fontId="45" fillId="0" borderId="9" xfId="0" applyFont="1" applyBorder="1" applyAlignment="1">
      <alignment horizontal="center"/>
    </xf>
    <xf numFmtId="0" fontId="45" fillId="0" borderId="10" xfId="0" applyFont="1" applyBorder="1" applyAlignment="1">
      <alignment horizontal="center"/>
    </xf>
    <xf numFmtId="0" fontId="46" fillId="0" borderId="11" xfId="0" applyFont="1" applyBorder="1"/>
    <xf numFmtId="0" fontId="46" fillId="0" borderId="0" xfId="0" applyFont="1"/>
    <xf numFmtId="182" fontId="46" fillId="2" borderId="0" xfId="0" applyNumberFormat="1" applyFont="1" applyFill="1"/>
    <xf numFmtId="181" fontId="46" fillId="12" borderId="12" xfId="1" applyNumberFormat="1" applyFont="1" applyFill="1" applyBorder="1"/>
    <xf numFmtId="182" fontId="46" fillId="3" borderId="0" xfId="0" applyNumberFormat="1" applyFont="1" applyFill="1"/>
    <xf numFmtId="181" fontId="46" fillId="7" borderId="12" xfId="1" applyNumberFormat="1" applyFont="1" applyFill="1" applyBorder="1"/>
    <xf numFmtId="0" fontId="46" fillId="0" borderId="13" xfId="0" applyFont="1" applyBorder="1"/>
    <xf numFmtId="0" fontId="45" fillId="0" borderId="14" xfId="0" applyFont="1" applyBorder="1"/>
    <xf numFmtId="182" fontId="46" fillId="0" borderId="14" xfId="0" applyNumberFormat="1" applyFont="1" applyBorder="1"/>
    <xf numFmtId="182" fontId="46" fillId="0" borderId="15" xfId="0" applyNumberFormat="1" applyFont="1" applyBorder="1"/>
    <xf numFmtId="0" fontId="45" fillId="0" borderId="0" xfId="0" applyFont="1"/>
    <xf numFmtId="182" fontId="44" fillId="0" borderId="0" xfId="0" applyNumberFormat="1" applyFont="1"/>
    <xf numFmtId="181" fontId="44" fillId="0" borderId="0" xfId="0" applyNumberFormat="1" applyFont="1"/>
    <xf numFmtId="182" fontId="46" fillId="0" borderId="0" xfId="0" applyNumberFormat="1" applyFont="1"/>
    <xf numFmtId="181" fontId="46" fillId="0" borderId="12" xfId="1" applyNumberFormat="1" applyFont="1" applyFill="1" applyBorder="1"/>
    <xf numFmtId="181" fontId="46" fillId="0" borderId="15" xfId="1" applyNumberFormat="1" applyFont="1" applyBorder="1"/>
    <xf numFmtId="0" fontId="47" fillId="0" borderId="25" xfId="0" applyFont="1" applyBorder="1" applyAlignment="1">
      <alignment horizontal="center"/>
    </xf>
    <xf numFmtId="0" fontId="47" fillId="0" borderId="26" xfId="0" applyFont="1" applyBorder="1" applyAlignment="1">
      <alignment horizontal="center"/>
    </xf>
    <xf numFmtId="0" fontId="47" fillId="0" borderId="27" xfId="0" applyFont="1" applyBorder="1" applyAlignment="1">
      <alignment horizontal="center"/>
    </xf>
    <xf numFmtId="0" fontId="44" fillId="0" borderId="11" xfId="0" applyFont="1" applyBorder="1"/>
    <xf numFmtId="181" fontId="44" fillId="0" borderId="0" xfId="1" applyNumberFormat="1" applyFont="1" applyBorder="1"/>
    <xf numFmtId="181" fontId="44" fillId="0" borderId="12" xfId="1" applyNumberFormat="1" applyFont="1" applyBorder="1"/>
    <xf numFmtId="181" fontId="46" fillId="0" borderId="12" xfId="1" applyNumberFormat="1" applyFont="1" applyBorder="1"/>
    <xf numFmtId="0" fontId="44" fillId="0" borderId="13" xfId="0" applyFont="1" applyBorder="1"/>
    <xf numFmtId="181" fontId="44" fillId="0" borderId="14" xfId="1" applyNumberFormat="1" applyFont="1" applyBorder="1"/>
    <xf numFmtId="181" fontId="44" fillId="0" borderId="15" xfId="1" applyNumberFormat="1" applyFont="1" applyBorder="1"/>
    <xf numFmtId="0" fontId="45" fillId="0" borderId="12" xfId="0" applyFont="1" applyBorder="1"/>
    <xf numFmtId="0" fontId="45" fillId="0" borderId="11" xfId="0" applyFont="1" applyBorder="1"/>
    <xf numFmtId="182" fontId="45" fillId="0" borderId="0" xfId="0" applyNumberFormat="1" applyFont="1"/>
    <xf numFmtId="0" fontId="45" fillId="0" borderId="15" xfId="0" applyFont="1" applyBorder="1"/>
    <xf numFmtId="182" fontId="46" fillId="4" borderId="0" xfId="0" applyNumberFormat="1" applyFont="1" applyFill="1"/>
    <xf numFmtId="182" fontId="46" fillId="5" borderId="0" xfId="0" applyNumberFormat="1" applyFont="1" applyFill="1"/>
    <xf numFmtId="182" fontId="46" fillId="6" borderId="0" xfId="0" applyNumberFormat="1" applyFont="1" applyFill="1"/>
    <xf numFmtId="182" fontId="46" fillId="7" borderId="0" xfId="0" applyNumberFormat="1" applyFont="1" applyFill="1"/>
    <xf numFmtId="182" fontId="45" fillId="0" borderId="12" xfId="0" applyNumberFormat="1" applyFont="1" applyBorder="1"/>
    <xf numFmtId="182" fontId="46" fillId="8" borderId="0" xfId="0" applyNumberFormat="1" applyFont="1" applyFill="1"/>
    <xf numFmtId="0" fontId="45" fillId="0" borderId="13" xfId="0" applyFont="1" applyBorder="1"/>
    <xf numFmtId="0" fontId="45" fillId="0" borderId="14" xfId="0" applyFont="1" applyBorder="1" applyAlignment="1">
      <alignment horizontal="center"/>
    </xf>
    <xf numFmtId="182" fontId="45" fillId="0" borderId="15" xfId="0" applyNumberFormat="1" applyFont="1" applyBorder="1"/>
    <xf numFmtId="182" fontId="46" fillId="6" borderId="12" xfId="0" applyNumberFormat="1" applyFont="1" applyFill="1" applyBorder="1"/>
    <xf numFmtId="182" fontId="46" fillId="0" borderId="12" xfId="0" applyNumberFormat="1" applyFont="1" applyBorder="1"/>
    <xf numFmtId="182" fontId="46" fillId="14" borderId="0" xfId="0" applyNumberFormat="1" applyFont="1" applyFill="1"/>
    <xf numFmtId="182" fontId="46" fillId="14" borderId="12" xfId="0" applyNumberFormat="1" applyFont="1" applyFill="1" applyBorder="1"/>
    <xf numFmtId="182" fontId="46" fillId="8" borderId="12" xfId="0" applyNumberFormat="1" applyFont="1" applyFill="1" applyBorder="1"/>
    <xf numFmtId="181" fontId="46" fillId="0" borderId="15" xfId="1" applyNumberFormat="1" applyFont="1" applyFill="1" applyBorder="1"/>
    <xf numFmtId="0" fontId="46" fillId="0" borderId="26" xfId="0" applyFont="1" applyBorder="1"/>
    <xf numFmtId="0" fontId="45" fillId="0" borderId="26" xfId="0" applyFont="1" applyBorder="1"/>
    <xf numFmtId="182" fontId="46" fillId="0" borderId="26" xfId="0" applyNumberFormat="1" applyFont="1" applyBorder="1"/>
    <xf numFmtId="181" fontId="46" fillId="0" borderId="26" xfId="1" applyNumberFormat="1" applyFont="1" applyFill="1" applyBorder="1"/>
    <xf numFmtId="0" fontId="45" fillId="0" borderId="1" xfId="0" applyFont="1" applyBorder="1" applyAlignment="1">
      <alignment horizontal="center"/>
    </xf>
    <xf numFmtId="0" fontId="45" fillId="0" borderId="28" xfId="0" applyFont="1" applyBorder="1" applyAlignment="1">
      <alignment horizontal="center"/>
    </xf>
    <xf numFmtId="182" fontId="46" fillId="9" borderId="0" xfId="0" applyNumberFormat="1" applyFont="1" applyFill="1"/>
    <xf numFmtId="182" fontId="46" fillId="10" borderId="0" xfId="0" applyNumberFormat="1" applyFont="1" applyFill="1"/>
    <xf numFmtId="177" fontId="45" fillId="0" borderId="11" xfId="0" applyNumberFormat="1" applyFont="1" applyBorder="1"/>
    <xf numFmtId="177" fontId="45" fillId="0" borderId="0" xfId="0" applyNumberFormat="1" applyFont="1"/>
    <xf numFmtId="0" fontId="48" fillId="0" borderId="0" xfId="0" applyFont="1"/>
    <xf numFmtId="0" fontId="48" fillId="0" borderId="8" xfId="0" applyFont="1" applyBorder="1"/>
    <xf numFmtId="0" fontId="48" fillId="0" borderId="7" xfId="0" applyFont="1" applyBorder="1"/>
    <xf numFmtId="0" fontId="49" fillId="0" borderId="0" xfId="0" applyFont="1"/>
    <xf numFmtId="182" fontId="49" fillId="0" borderId="0" xfId="0" applyNumberFormat="1" applyFont="1"/>
    <xf numFmtId="182" fontId="49" fillId="0" borderId="12" xfId="0" applyNumberFormat="1" applyFont="1" applyBorder="1"/>
    <xf numFmtId="0" fontId="48" fillId="0" borderId="9" xfId="0" applyFont="1" applyBorder="1" applyAlignment="1">
      <alignment horizontal="center" vertical="center"/>
    </xf>
    <xf numFmtId="0" fontId="48" fillId="0" borderId="11" xfId="0" applyFont="1" applyBorder="1"/>
    <xf numFmtId="0" fontId="49" fillId="0" borderId="11" xfId="0" applyFont="1" applyBorder="1"/>
    <xf numFmtId="182" fontId="49" fillId="13" borderId="0" xfId="0" applyNumberFormat="1" applyFont="1" applyFill="1"/>
    <xf numFmtId="0" fontId="48" fillId="0" borderId="13" xfId="0" applyFont="1" applyBorder="1"/>
    <xf numFmtId="0" fontId="48" fillId="0" borderId="14" xfId="0" applyFont="1" applyBorder="1" applyAlignment="1">
      <alignment horizontal="center"/>
    </xf>
    <xf numFmtId="182" fontId="49" fillId="0" borderId="14" xfId="0" applyNumberFormat="1" applyFont="1" applyBorder="1"/>
    <xf numFmtId="182" fontId="49" fillId="0" borderId="15" xfId="0" applyNumberFormat="1" applyFont="1" applyBorder="1"/>
    <xf numFmtId="181" fontId="45" fillId="0" borderId="12" xfId="1" applyNumberFormat="1" applyFont="1" applyBorder="1"/>
    <xf numFmtId="181" fontId="45" fillId="0" borderId="15" xfId="1" applyNumberFormat="1" applyFont="1" applyBorder="1"/>
    <xf numFmtId="0" fontId="38" fillId="0" borderId="0" xfId="0" applyFont="1" applyAlignment="1">
      <alignment wrapText="1"/>
    </xf>
    <xf numFmtId="0" fontId="38" fillId="0" borderId="0" xfId="0" applyFont="1" applyAlignment="1">
      <alignment vertical="center" wrapText="1"/>
    </xf>
    <xf numFmtId="0" fontId="51" fillId="0" borderId="0" xfId="0" applyFont="1" applyAlignment="1">
      <alignment horizontal="center" vertical="center" wrapText="1"/>
    </xf>
    <xf numFmtId="0" fontId="51" fillId="0" borderId="14" xfId="0" applyFont="1" applyBorder="1" applyAlignment="1">
      <alignment horizontal="left" vertical="center" wrapText="1"/>
    </xf>
    <xf numFmtId="0" fontId="52" fillId="0" borderId="0" xfId="0" applyFont="1" applyAlignment="1">
      <alignment vertical="center" wrapText="1"/>
    </xf>
    <xf numFmtId="177" fontId="38" fillId="0" borderId="0" xfId="0" applyNumberFormat="1" applyFont="1" applyAlignment="1">
      <alignment vertical="center" wrapText="1"/>
    </xf>
    <xf numFmtId="0" fontId="54" fillId="0" borderId="0" xfId="0" applyFont="1" applyAlignment="1">
      <alignment horizontal="right" vertical="center" wrapText="1"/>
    </xf>
    <xf numFmtId="177" fontId="54" fillId="0" borderId="0" xfId="0" applyNumberFormat="1" applyFont="1" applyAlignment="1">
      <alignment horizontal="right" vertical="center" wrapText="1"/>
    </xf>
    <xf numFmtId="0" fontId="54" fillId="0" borderId="0" xfId="0" applyFont="1" applyAlignment="1">
      <alignment horizontal="left" vertical="center" wrapText="1"/>
    </xf>
    <xf numFmtId="0" fontId="51" fillId="0" borderId="0" xfId="0" applyFont="1" applyAlignment="1">
      <alignment horizontal="justify" vertical="center" wrapText="1"/>
    </xf>
    <xf numFmtId="0" fontId="51" fillId="0" borderId="0" xfId="0" applyFont="1" applyAlignment="1">
      <alignment vertical="center" wrapText="1"/>
    </xf>
    <xf numFmtId="177" fontId="51" fillId="0" borderId="0" xfId="0" applyNumberFormat="1" applyFont="1" applyAlignment="1">
      <alignment horizontal="right" vertical="center" wrapText="1"/>
    </xf>
    <xf numFmtId="0" fontId="54" fillId="0" borderId="0" xfId="0" applyFont="1" applyAlignment="1">
      <alignment vertical="center" wrapText="1"/>
    </xf>
    <xf numFmtId="0" fontId="51" fillId="0" borderId="0" xfId="0" applyFont="1" applyAlignment="1">
      <alignment horizontal="left" vertical="center" wrapText="1"/>
    </xf>
    <xf numFmtId="0" fontId="50" fillId="0" borderId="0" xfId="0" applyFont="1" applyAlignment="1">
      <alignment vertical="center" wrapText="1"/>
    </xf>
    <xf numFmtId="0" fontId="54" fillId="0" borderId="14" xfId="0" applyFont="1" applyBorder="1" applyAlignment="1">
      <alignment vertical="center" wrapText="1"/>
    </xf>
    <xf numFmtId="177" fontId="51" fillId="0" borderId="14" xfId="0" applyNumberFormat="1" applyFont="1" applyBorder="1" applyAlignment="1">
      <alignment horizontal="right" vertical="center" wrapText="1"/>
    </xf>
    <xf numFmtId="0" fontId="51" fillId="0" borderId="5" xfId="0" applyFont="1" applyBorder="1" applyAlignment="1">
      <alignment vertical="center" wrapText="1"/>
    </xf>
    <xf numFmtId="177" fontId="51" fillId="0" borderId="5" xfId="0" applyNumberFormat="1" applyFont="1" applyBorder="1" applyAlignment="1">
      <alignment horizontal="right" vertical="center" wrapText="1"/>
    </xf>
    <xf numFmtId="177" fontId="0" fillId="0" borderId="0" xfId="0" applyNumberFormat="1"/>
    <xf numFmtId="0" fontId="0" fillId="0" borderId="0" xfId="0" applyAlignment="1">
      <alignment horizontal="left"/>
    </xf>
    <xf numFmtId="0" fontId="4" fillId="0" borderId="0" xfId="0" applyFont="1" applyAlignment="1">
      <alignment horizontal="center" vertical="center"/>
    </xf>
    <xf numFmtId="177" fontId="5" fillId="0" borderId="2" xfId="0" applyNumberFormat="1" applyFont="1" applyBorder="1" applyAlignment="1">
      <alignment horizontal="right"/>
    </xf>
    <xf numFmtId="186" fontId="3" fillId="0" borderId="0" xfId="0" applyNumberFormat="1" applyFont="1" applyAlignment="1">
      <alignment horizontal="left" vertical="center" indent="1"/>
    </xf>
    <xf numFmtId="177" fontId="6" fillId="0" borderId="0" xfId="0" applyNumberFormat="1" applyFont="1" applyAlignment="1">
      <alignment vertical="center"/>
    </xf>
    <xf numFmtId="177" fontId="4" fillId="0" borderId="0" xfId="0" applyNumberFormat="1" applyFont="1" applyAlignment="1">
      <alignment horizontal="left"/>
    </xf>
    <xf numFmtId="177" fontId="5" fillId="0" borderId="0" xfId="0" applyNumberFormat="1" applyFont="1" applyAlignment="1">
      <alignment horizontal="left" vertical="center"/>
    </xf>
    <xf numFmtId="177" fontId="3" fillId="0" borderId="0" xfId="0" applyNumberFormat="1" applyFont="1" applyAlignment="1">
      <alignment horizontal="left" vertical="center" indent="1"/>
    </xf>
    <xf numFmtId="177" fontId="3" fillId="0" borderId="0" xfId="0" applyNumberFormat="1" applyFont="1" applyAlignment="1">
      <alignment horizontal="left" vertical="center" indent="2"/>
    </xf>
    <xf numFmtId="177" fontId="5" fillId="0" borderId="1" xfId="0" applyNumberFormat="1" applyFont="1" applyBorder="1" applyAlignment="1">
      <alignment horizontal="left" vertical="center"/>
    </xf>
    <xf numFmtId="177" fontId="4" fillId="0" borderId="0" xfId="0" applyNumberFormat="1" applyFont="1" applyAlignment="1">
      <alignment horizontal="left" vertical="center"/>
    </xf>
    <xf numFmtId="0" fontId="4" fillId="0" borderId="1" xfId="0" applyFont="1" applyBorder="1" applyAlignment="1">
      <alignment horizontal="center"/>
    </xf>
    <xf numFmtId="177" fontId="3" fillId="0" borderId="0" xfId="0" applyNumberFormat="1" applyFont="1" applyAlignment="1">
      <alignment horizontal="distributed" vertical="center" wrapText="1"/>
    </xf>
    <xf numFmtId="0" fontId="14" fillId="0" borderId="0" xfId="0" applyFont="1"/>
    <xf numFmtId="181" fontId="14" fillId="0" borderId="0" xfId="1" applyNumberFormat="1" applyFont="1"/>
    <xf numFmtId="181" fontId="56" fillId="0" borderId="0" xfId="1" applyNumberFormat="1" applyFont="1"/>
    <xf numFmtId="185" fontId="5" fillId="0" borderId="0" xfId="0" applyNumberFormat="1" applyFont="1"/>
    <xf numFmtId="185" fontId="5" fillId="0" borderId="0" xfId="0" applyNumberFormat="1" applyFont="1" applyAlignment="1">
      <alignment horizontal="distributed"/>
    </xf>
    <xf numFmtId="185" fontId="5" fillId="0" borderId="2" xfId="0" applyNumberFormat="1" applyFont="1" applyBorder="1"/>
    <xf numFmtId="185" fontId="5" fillId="0" borderId="5" xfId="0" applyNumberFormat="1" applyFont="1" applyBorder="1"/>
    <xf numFmtId="185" fontId="14" fillId="0" borderId="0" xfId="0" applyNumberFormat="1" applyFont="1" applyAlignment="1">
      <alignment horizontal="right"/>
    </xf>
    <xf numFmtId="185" fontId="5" fillId="0" borderId="0" xfId="0" applyNumberFormat="1" applyFont="1" applyAlignment="1">
      <alignment horizontal="right"/>
    </xf>
    <xf numFmtId="185" fontId="5" fillId="0" borderId="2" xfId="0" applyNumberFormat="1" applyFont="1" applyBorder="1" applyAlignment="1">
      <alignment horizontal="right"/>
    </xf>
    <xf numFmtId="187" fontId="5" fillId="0" borderId="0" xfId="0" applyNumberFormat="1" applyFont="1"/>
    <xf numFmtId="187" fontId="5" fillId="0" borderId="2" xfId="0" applyNumberFormat="1" applyFont="1" applyBorder="1"/>
    <xf numFmtId="187" fontId="5" fillId="0" borderId="5" xfId="0" applyNumberFormat="1" applyFont="1" applyBorder="1"/>
    <xf numFmtId="187" fontId="14" fillId="0" borderId="0" xfId="0" applyNumberFormat="1" applyFont="1" applyAlignment="1">
      <alignment horizontal="right"/>
    </xf>
    <xf numFmtId="185" fontId="5" fillId="0" borderId="1" xfId="0" applyNumberFormat="1" applyFont="1" applyBorder="1"/>
    <xf numFmtId="185" fontId="5" fillId="0" borderId="3" xfId="0" applyNumberFormat="1" applyFont="1" applyBorder="1"/>
    <xf numFmtId="188" fontId="5" fillId="0" borderId="0" xfId="0" applyNumberFormat="1" applyFont="1"/>
    <xf numFmtId="188" fontId="5" fillId="0" borderId="1" xfId="0" applyNumberFormat="1" applyFont="1" applyBorder="1"/>
    <xf numFmtId="188" fontId="5" fillId="0" borderId="2" xfId="0" applyNumberFormat="1" applyFont="1" applyBorder="1"/>
    <xf numFmtId="188" fontId="5" fillId="0" borderId="3" xfId="0" applyNumberFormat="1" applyFont="1" applyBorder="1"/>
    <xf numFmtId="0" fontId="3" fillId="0" borderId="0" xfId="0" applyFont="1" applyAlignment="1">
      <alignment horizontal="left" wrapText="1"/>
    </xf>
    <xf numFmtId="185" fontId="5" fillId="0" borderId="4" xfId="0" applyNumberFormat="1" applyFont="1" applyBorder="1"/>
    <xf numFmtId="188" fontId="5" fillId="0" borderId="4" xfId="0" applyNumberFormat="1" applyFont="1" applyBorder="1"/>
    <xf numFmtId="185" fontId="5" fillId="0" borderId="0" xfId="0" applyNumberFormat="1" applyFont="1" applyAlignment="1">
      <alignment horizontal="center"/>
    </xf>
    <xf numFmtId="185" fontId="5" fillId="0" borderId="0" xfId="0" applyNumberFormat="1" applyFont="1" applyAlignment="1">
      <alignment horizontal="left"/>
    </xf>
    <xf numFmtId="185" fontId="5" fillId="0" borderId="1" xfId="0" applyNumberFormat="1" applyFont="1" applyBorder="1" applyAlignment="1">
      <alignment horizontal="center"/>
    </xf>
    <xf numFmtId="185" fontId="5" fillId="0" borderId="1" xfId="0" applyNumberFormat="1" applyFont="1" applyBorder="1" applyAlignment="1">
      <alignment horizontal="left"/>
    </xf>
    <xf numFmtId="185" fontId="5" fillId="0" borderId="5" xfId="0" applyNumberFormat="1" applyFont="1" applyBorder="1" applyAlignment="1">
      <alignment horizontal="center"/>
    </xf>
    <xf numFmtId="185" fontId="5" fillId="0" borderId="4" xfId="0" applyNumberFormat="1" applyFont="1" applyBorder="1" applyAlignment="1">
      <alignment vertical="center"/>
    </xf>
    <xf numFmtId="185" fontId="5" fillId="0" borderId="2" xfId="0" applyNumberFormat="1" applyFont="1" applyBorder="1" applyAlignment="1">
      <alignment vertical="center"/>
    </xf>
    <xf numFmtId="185" fontId="4" fillId="0" borderId="0" xfId="0" applyNumberFormat="1" applyFont="1"/>
    <xf numFmtId="185" fontId="5" fillId="0" borderId="3" xfId="0" applyNumberFormat="1" applyFont="1" applyBorder="1" applyAlignment="1">
      <alignment vertical="center"/>
    </xf>
    <xf numFmtId="185" fontId="51" fillId="0" borderId="0" xfId="0" applyNumberFormat="1" applyFont="1" applyAlignment="1">
      <alignment vertical="center" wrapText="1"/>
    </xf>
    <xf numFmtId="185" fontId="51" fillId="0" borderId="0" xfId="0" applyNumberFormat="1" applyFont="1" applyAlignment="1">
      <alignment horizontal="right" vertical="center" wrapText="1"/>
    </xf>
    <xf numFmtId="185" fontId="38" fillId="0" borderId="0" xfId="0" applyNumberFormat="1" applyFont="1" applyAlignment="1">
      <alignment vertical="center" wrapText="1"/>
    </xf>
    <xf numFmtId="185" fontId="54" fillId="0" borderId="0" xfId="0" applyNumberFormat="1" applyFont="1" applyAlignment="1">
      <alignment vertical="center" wrapText="1"/>
    </xf>
    <xf numFmtId="185" fontId="54" fillId="0" borderId="0" xfId="0" applyNumberFormat="1" applyFont="1" applyAlignment="1">
      <alignment horizontal="right" vertical="center" wrapText="1"/>
    </xf>
    <xf numFmtId="0" fontId="3" fillId="0" borderId="0" xfId="0" applyFont="1" applyAlignment="1">
      <alignment horizontal="left" vertical="center" indent="2"/>
    </xf>
    <xf numFmtId="0" fontId="5" fillId="0" borderId="0" xfId="0" applyFont="1" applyAlignment="1">
      <alignment horizontal="left" vertical="center" wrapText="1"/>
    </xf>
    <xf numFmtId="0" fontId="13" fillId="0" borderId="0" xfId="0" applyFont="1"/>
    <xf numFmtId="0" fontId="3" fillId="0" borderId="0" xfId="0" applyFont="1" applyAlignment="1">
      <alignment horizontal="justify" vertical="center" wrapText="1"/>
    </xf>
    <xf numFmtId="0" fontId="5" fillId="0" borderId="0" xfId="0" applyFont="1" applyAlignment="1">
      <alignment horizontal="justify" vertical="center" wrapText="1"/>
    </xf>
    <xf numFmtId="177" fontId="5" fillId="0" borderId="0" xfId="0" applyNumberFormat="1" applyFont="1" applyAlignment="1">
      <alignment horizontal="right" vertical="center" wrapText="1"/>
    </xf>
    <xf numFmtId="177" fontId="5" fillId="0" borderId="0" xfId="0" applyNumberFormat="1" applyFont="1" applyAlignment="1">
      <alignment horizontal="justify" vertical="center" wrapText="1"/>
    </xf>
    <xf numFmtId="0" fontId="5" fillId="0" borderId="0" xfId="0" applyFont="1" applyAlignment="1">
      <alignment horizontal="right" vertical="center" wrapText="1"/>
    </xf>
    <xf numFmtId="177" fontId="5" fillId="0" borderId="7" xfId="0" applyNumberFormat="1" applyFont="1" applyBorder="1" applyAlignment="1">
      <alignment horizontal="justify" vertical="center" wrapText="1"/>
    </xf>
    <xf numFmtId="177" fontId="5" fillId="0" borderId="0" xfId="0" applyNumberFormat="1" applyFont="1" applyAlignment="1">
      <alignment horizontal="left" vertical="center" wrapText="1"/>
    </xf>
    <xf numFmtId="177" fontId="5" fillId="0" borderId="6" xfId="0" applyNumberFormat="1" applyFont="1" applyBorder="1" applyAlignment="1">
      <alignment horizontal="right" vertical="center" wrapText="1"/>
    </xf>
    <xf numFmtId="0" fontId="5" fillId="0" borderId="5" xfId="0" applyFont="1" applyBorder="1" applyAlignment="1">
      <alignment vertical="center" wrapText="1"/>
    </xf>
    <xf numFmtId="177" fontId="5" fillId="0" borderId="6" xfId="0" applyNumberFormat="1" applyFont="1" applyBorder="1" applyAlignment="1">
      <alignment horizontal="justify" vertical="center" wrapText="1"/>
    </xf>
    <xf numFmtId="177" fontId="3" fillId="0" borderId="0" xfId="0" applyNumberFormat="1" applyFont="1" applyAlignment="1">
      <alignment horizontal="justify" vertical="center" wrapText="1"/>
    </xf>
    <xf numFmtId="177" fontId="5" fillId="0" borderId="0" xfId="0" applyNumberFormat="1" applyFont="1" applyAlignment="1">
      <alignment vertical="center" wrapText="1"/>
    </xf>
    <xf numFmtId="0" fontId="3" fillId="0" borderId="0" xfId="0" applyFont="1" applyAlignment="1">
      <alignment vertical="center" wrapText="1"/>
    </xf>
    <xf numFmtId="0" fontId="5" fillId="0" borderId="14" xfId="0" applyFont="1" applyBorder="1" applyAlignment="1">
      <alignment horizontal="left" vertical="center" wrapText="1"/>
    </xf>
    <xf numFmtId="177" fontId="5" fillId="0" borderId="14" xfId="0" applyNumberFormat="1" applyFont="1" applyBorder="1" applyAlignment="1">
      <alignment horizontal="right" vertical="center" wrapText="1"/>
    </xf>
    <xf numFmtId="0" fontId="5" fillId="0" borderId="0" xfId="0" applyFont="1" applyAlignment="1">
      <alignment vertical="center" wrapText="1"/>
    </xf>
    <xf numFmtId="177" fontId="5" fillId="0" borderId="0" xfId="1" applyNumberFormat="1" applyFont="1" applyAlignment="1">
      <alignment horizontal="right" vertical="center" wrapText="1"/>
    </xf>
    <xf numFmtId="177" fontId="5" fillId="0" borderId="0" xfId="1" applyNumberFormat="1" applyFont="1" applyAlignment="1">
      <alignment horizontal="justify" vertical="center" wrapText="1"/>
    </xf>
    <xf numFmtId="0" fontId="5" fillId="0" borderId="14" xfId="0" applyFont="1" applyBorder="1" applyAlignment="1">
      <alignment horizontal="right" vertical="center" wrapText="1"/>
    </xf>
    <xf numFmtId="177" fontId="5" fillId="0" borderId="0" xfId="0" applyNumberFormat="1" applyFont="1" applyAlignment="1">
      <alignment horizontal="justify" wrapText="1"/>
    </xf>
    <xf numFmtId="0" fontId="4" fillId="0" borderId="0" xfId="0" applyFont="1" applyAlignment="1">
      <alignment horizontal="justify" vertical="center" wrapText="1"/>
    </xf>
    <xf numFmtId="0" fontId="4" fillId="0" borderId="0" xfId="0" applyFont="1" applyAlignment="1">
      <alignment horizontal="right" vertical="center" wrapText="1"/>
    </xf>
    <xf numFmtId="0" fontId="4" fillId="0" borderId="0" xfId="0" applyFont="1" applyAlignment="1">
      <alignment vertical="center" wrapText="1"/>
    </xf>
    <xf numFmtId="0" fontId="51" fillId="0" borderId="0" xfId="0" applyFont="1" applyAlignment="1">
      <alignment horizontal="right" vertical="center" wrapText="1"/>
    </xf>
    <xf numFmtId="0" fontId="5" fillId="0" borderId="14" xfId="0" applyFont="1" applyBorder="1" applyAlignment="1">
      <alignment vertical="center" wrapText="1"/>
    </xf>
    <xf numFmtId="0" fontId="0" fillId="0" borderId="0" xfId="0" applyAlignment="1">
      <alignment wrapText="1"/>
    </xf>
    <xf numFmtId="0" fontId="5" fillId="0" borderId="6" xfId="0" applyFont="1" applyBorder="1" applyAlignment="1">
      <alignment horizontal="right" vertical="center" wrapText="1"/>
    </xf>
    <xf numFmtId="0" fontId="5" fillId="0" borderId="5" xfId="0" applyFont="1" applyBorder="1" applyAlignment="1">
      <alignment horizontal="right" vertical="center" wrapText="1"/>
    </xf>
    <xf numFmtId="0" fontId="3" fillId="0" borderId="0" xfId="0" applyFont="1" applyAlignment="1">
      <alignment horizontal="left" vertical="center" indent="1"/>
    </xf>
    <xf numFmtId="0" fontId="3" fillId="0" borderId="0" xfId="0" applyFont="1" applyAlignment="1">
      <alignment vertical="center"/>
    </xf>
    <xf numFmtId="177" fontId="5" fillId="0" borderId="5" xfId="0" applyNumberFormat="1" applyFont="1" applyBorder="1" applyAlignment="1">
      <alignment horizontal="right" vertical="center" wrapText="1"/>
    </xf>
    <xf numFmtId="0" fontId="58" fillId="0" borderId="8" xfId="11" applyFont="1" applyBorder="1"/>
    <xf numFmtId="0" fontId="59" fillId="0" borderId="29" xfId="11" applyFont="1" applyBorder="1" applyAlignment="1">
      <alignment horizontal="right"/>
    </xf>
    <xf numFmtId="0" fontId="58" fillId="0" borderId="0" xfId="11" applyFont="1"/>
    <xf numFmtId="0" fontId="58" fillId="0" borderId="11" xfId="11" applyFont="1" applyBorder="1"/>
    <xf numFmtId="0" fontId="61" fillId="0" borderId="30" xfId="11" applyFont="1" applyBorder="1"/>
    <xf numFmtId="0" fontId="36" fillId="0" borderId="29" xfId="11" applyFont="1" applyBorder="1" applyAlignment="1">
      <alignment horizontal="center" vertical="center" wrapText="1"/>
    </xf>
    <xf numFmtId="0" fontId="62" fillId="0" borderId="31" xfId="11" applyFont="1" applyBorder="1" applyAlignment="1">
      <alignment horizontal="center" vertical="center" wrapText="1"/>
    </xf>
    <xf numFmtId="0" fontId="59" fillId="0" borderId="11" xfId="11" applyFont="1" applyBorder="1" applyAlignment="1">
      <alignment horizontal="left"/>
    </xf>
    <xf numFmtId="0" fontId="36" fillId="0" borderId="32" xfId="11" applyFont="1" applyBorder="1" applyAlignment="1">
      <alignment horizontal="center" vertical="center" wrapText="1"/>
    </xf>
    <xf numFmtId="0" fontId="62" fillId="0" borderId="15" xfId="11" applyFont="1" applyBorder="1" applyAlignment="1">
      <alignment horizontal="center" vertical="center" wrapText="1"/>
    </xf>
    <xf numFmtId="0" fontId="62" fillId="0" borderId="29" xfId="11" applyFont="1" applyBorder="1" applyAlignment="1">
      <alignment vertical="center" wrapText="1"/>
    </xf>
    <xf numFmtId="0" fontId="14" fillId="0" borderId="11" xfId="11" applyFont="1" applyBorder="1" applyAlignment="1">
      <alignment horizontal="center" vertical="center" wrapText="1"/>
    </xf>
    <xf numFmtId="0" fontId="14" fillId="0" borderId="29" xfId="11" applyFont="1" applyBorder="1" applyAlignment="1">
      <alignment horizontal="center" vertical="center" wrapText="1"/>
    </xf>
    <xf numFmtId="0" fontId="14" fillId="0" borderId="12" xfId="11" applyFont="1" applyBorder="1" applyAlignment="1">
      <alignment horizontal="center" vertical="center" wrapText="1"/>
    </xf>
    <xf numFmtId="0" fontId="62" fillId="0" borderId="30" xfId="11" applyFont="1" applyBorder="1" applyAlignment="1">
      <alignment horizontal="left" vertical="center" wrapText="1" indent="1"/>
    </xf>
    <xf numFmtId="177" fontId="62" fillId="0" borderId="30" xfId="0" applyNumberFormat="1" applyFont="1" applyBorder="1" applyAlignment="1">
      <alignment horizontal="right" vertical="center" wrapText="1"/>
    </xf>
    <xf numFmtId="177" fontId="62" fillId="0" borderId="12" xfId="0" applyNumberFormat="1" applyFont="1" applyBorder="1" applyAlignment="1">
      <alignment horizontal="right" vertical="center" wrapText="1"/>
    </xf>
    <xf numFmtId="177" fontId="62" fillId="0" borderId="11" xfId="11" applyNumberFormat="1" applyFont="1" applyBorder="1" applyAlignment="1">
      <alignment horizontal="right" vertical="center" wrapText="1"/>
    </xf>
    <xf numFmtId="177" fontId="62" fillId="0" borderId="30" xfId="11" applyNumberFormat="1" applyFont="1" applyBorder="1" applyAlignment="1">
      <alignment horizontal="right" vertical="center" wrapText="1"/>
    </xf>
    <xf numFmtId="0" fontId="36" fillId="0" borderId="30" xfId="11" applyFont="1" applyBorder="1" applyAlignment="1">
      <alignment horizontal="left" vertical="center" wrapText="1" indent="1"/>
    </xf>
    <xf numFmtId="0" fontId="36" fillId="0" borderId="30" xfId="0" applyFont="1" applyBorder="1" applyAlignment="1">
      <alignment vertical="center" wrapText="1"/>
    </xf>
    <xf numFmtId="0" fontId="58" fillId="0" borderId="13" xfId="11" applyFont="1" applyBorder="1"/>
    <xf numFmtId="0" fontId="36" fillId="0" borderId="32" xfId="0" applyFont="1" applyBorder="1" applyAlignment="1">
      <alignment vertical="center" wrapText="1"/>
    </xf>
    <xf numFmtId="177" fontId="62" fillId="0" borderId="13" xfId="11" applyNumberFormat="1" applyFont="1" applyBorder="1" applyAlignment="1">
      <alignment horizontal="right" vertical="center" wrapText="1"/>
    </xf>
    <xf numFmtId="177" fontId="62" fillId="0" borderId="32" xfId="11" applyNumberFormat="1" applyFont="1" applyBorder="1" applyAlignment="1">
      <alignment horizontal="right" vertical="center" wrapText="1"/>
    </xf>
    <xf numFmtId="0" fontId="38" fillId="0" borderId="0" xfId="11" applyFont="1" applyAlignment="1">
      <alignment horizontal="left" vertical="center" wrapText="1" indent="1"/>
    </xf>
    <xf numFmtId="3" fontId="38" fillId="0" borderId="0" xfId="11" applyNumberFormat="1" applyFont="1" applyAlignment="1">
      <alignment horizontal="right" vertical="center" wrapText="1"/>
    </xf>
    <xf numFmtId="0" fontId="63" fillId="0" borderId="0" xfId="11" applyFont="1"/>
    <xf numFmtId="0" fontId="9" fillId="0" borderId="0" xfId="0" applyFont="1"/>
    <xf numFmtId="181" fontId="63" fillId="0" borderId="0" xfId="1" applyNumberFormat="1" applyFont="1"/>
    <xf numFmtId="43" fontId="63" fillId="0" borderId="0" xfId="11" applyNumberFormat="1" applyFont="1"/>
    <xf numFmtId="0" fontId="64" fillId="0" borderId="0" xfId="11" applyFont="1"/>
    <xf numFmtId="0" fontId="58" fillId="0" borderId="7" xfId="11" applyFont="1" applyBorder="1"/>
    <xf numFmtId="177" fontId="62" fillId="0" borderId="15" xfId="0" applyNumberFormat="1" applyFont="1" applyBorder="1" applyAlignment="1">
      <alignment horizontal="right" vertical="center" wrapText="1"/>
    </xf>
    <xf numFmtId="0" fontId="12" fillId="0" borderId="0" xfId="0" applyFont="1" applyAlignment="1">
      <alignment horizontal="justify" vertical="center" wrapText="1"/>
    </xf>
    <xf numFmtId="3" fontId="14" fillId="0" borderId="0" xfId="0" applyNumberFormat="1" applyFont="1" applyAlignment="1">
      <alignment vertical="center" wrapText="1"/>
    </xf>
    <xf numFmtId="0" fontId="4" fillId="0" borderId="6" xfId="0" applyFont="1" applyBorder="1" applyAlignment="1">
      <alignment horizontal="justify" vertical="center" wrapText="1"/>
    </xf>
    <xf numFmtId="0" fontId="4" fillId="0" borderId="6" xfId="0" applyFont="1" applyBorder="1" applyAlignment="1">
      <alignment vertical="center" wrapText="1"/>
    </xf>
    <xf numFmtId="177" fontId="5" fillId="0" borderId="14" xfId="0" applyNumberFormat="1" applyFont="1" applyBorder="1" applyAlignment="1">
      <alignment horizontal="justify" vertical="center" wrapText="1"/>
    </xf>
    <xf numFmtId="176" fontId="5" fillId="0" borderId="7" xfId="1" applyNumberFormat="1" applyFont="1" applyBorder="1" applyAlignment="1">
      <alignment horizontal="right" vertical="center" wrapText="1"/>
    </xf>
    <xf numFmtId="176" fontId="5" fillId="0" borderId="0" xfId="0" applyNumberFormat="1" applyFont="1" applyAlignment="1">
      <alignment horizontal="right" vertical="center" wrapText="1"/>
    </xf>
    <xf numFmtId="176" fontId="5" fillId="0" borderId="6" xfId="0" applyNumberFormat="1" applyFont="1" applyBorder="1" applyAlignment="1">
      <alignment horizontal="right" vertical="center" wrapText="1"/>
    </xf>
    <xf numFmtId="176" fontId="0" fillId="0" borderId="0" xfId="0" applyNumberFormat="1"/>
    <xf numFmtId="176" fontId="5" fillId="0" borderId="7" xfId="0" applyNumberFormat="1" applyFont="1" applyBorder="1" applyAlignment="1">
      <alignment horizontal="right" vertical="center" wrapText="1"/>
    </xf>
    <xf numFmtId="176" fontId="5" fillId="0" borderId="0" xfId="0" applyNumberFormat="1" applyFont="1" applyAlignment="1">
      <alignment vertical="center" wrapText="1"/>
    </xf>
    <xf numFmtId="176" fontId="5" fillId="0" borderId="6" xfId="0" applyNumberFormat="1" applyFont="1" applyBorder="1" applyAlignment="1">
      <alignment vertical="center" wrapText="1"/>
    </xf>
    <xf numFmtId="176" fontId="5" fillId="0" borderId="14" xfId="0" applyNumberFormat="1" applyFont="1" applyBorder="1" applyAlignment="1">
      <alignment horizontal="right" vertical="center" wrapText="1"/>
    </xf>
    <xf numFmtId="176" fontId="5" fillId="0" borderId="33" xfId="0" applyNumberFormat="1" applyFont="1" applyBorder="1" applyAlignment="1">
      <alignment horizontal="right" vertical="center" wrapText="1"/>
    </xf>
    <xf numFmtId="176" fontId="5" fillId="0" borderId="5" xfId="0" applyNumberFormat="1" applyFont="1" applyBorder="1" applyAlignment="1">
      <alignment horizontal="right" vertical="center" wrapText="1"/>
    </xf>
    <xf numFmtId="176" fontId="5" fillId="0" borderId="0" xfId="0" applyNumberFormat="1" applyFont="1"/>
    <xf numFmtId="0" fontId="38" fillId="0" borderId="0" xfId="0" applyFont="1" applyAlignment="1">
      <alignment horizontal="center" vertical="center" wrapText="1"/>
    </xf>
    <xf numFmtId="0" fontId="0" fillId="0" borderId="0" xfId="0" applyAlignment="1">
      <alignment horizontal="center"/>
    </xf>
    <xf numFmtId="181" fontId="38" fillId="0" borderId="0" xfId="1" applyNumberFormat="1" applyFont="1" applyAlignment="1">
      <alignment horizontal="center" vertical="center" wrapText="1"/>
    </xf>
    <xf numFmtId="181" fontId="0" fillId="0" borderId="0" xfId="1" applyNumberFormat="1" applyFont="1" applyAlignment="1">
      <alignment horizontal="center"/>
    </xf>
    <xf numFmtId="177" fontId="38" fillId="0" borderId="0" xfId="0" applyNumberFormat="1" applyFont="1" applyAlignment="1">
      <alignment horizontal="center" vertical="center" wrapText="1"/>
    </xf>
    <xf numFmtId="177" fontId="54" fillId="0" borderId="0" xfId="0" applyNumberFormat="1" applyFont="1" applyAlignment="1">
      <alignment horizontal="center" vertical="center" wrapText="1"/>
    </xf>
    <xf numFmtId="182" fontId="5" fillId="0" borderId="0" xfId="0" applyNumberFormat="1" applyFont="1" applyAlignment="1">
      <alignment horizontal="right" vertical="center" wrapText="1"/>
    </xf>
    <xf numFmtId="176" fontId="13" fillId="0" borderId="0" xfId="0" applyNumberFormat="1" applyFont="1"/>
    <xf numFmtId="176" fontId="5" fillId="0" borderId="14" xfId="10" applyNumberFormat="1" applyFont="1" applyBorder="1" applyAlignment="1">
      <alignment horizontal="right" vertical="center" wrapText="1"/>
    </xf>
    <xf numFmtId="176" fontId="5" fillId="0" borderId="0" xfId="1" applyNumberFormat="1" applyFont="1" applyAlignment="1">
      <alignment horizontal="right" vertical="center" wrapText="1"/>
    </xf>
    <xf numFmtId="176" fontId="5" fillId="0" borderId="26" xfId="0" applyNumberFormat="1" applyFont="1" applyBorder="1" applyAlignment="1">
      <alignment horizontal="right" vertical="center" wrapText="1"/>
    </xf>
    <xf numFmtId="182" fontId="13" fillId="0" borderId="0" xfId="0" applyNumberFormat="1" applyFont="1"/>
    <xf numFmtId="182" fontId="5" fillId="0" borderId="14" xfId="0" applyNumberFormat="1" applyFont="1" applyBorder="1" applyAlignment="1">
      <alignment horizontal="right" vertical="center" wrapText="1"/>
    </xf>
    <xf numFmtId="182" fontId="5" fillId="0" borderId="5" xfId="0" applyNumberFormat="1" applyFont="1" applyBorder="1" applyAlignment="1">
      <alignment horizontal="right" vertical="center" wrapText="1"/>
    </xf>
    <xf numFmtId="182" fontId="0" fillId="0" borderId="0" xfId="0" applyNumberFormat="1"/>
    <xf numFmtId="182" fontId="5" fillId="0" borderId="0" xfId="0" applyNumberFormat="1" applyFont="1" applyAlignment="1">
      <alignment horizontal="justify" vertical="center" wrapText="1"/>
    </xf>
    <xf numFmtId="187" fontId="5" fillId="0" borderId="0" xfId="0" applyNumberFormat="1" applyFont="1" applyAlignment="1">
      <alignment horizontal="right"/>
    </xf>
    <xf numFmtId="0" fontId="4" fillId="0" borderId="3" xfId="0" applyFont="1" applyBorder="1"/>
    <xf numFmtId="0" fontId="5" fillId="0" borderId="3" xfId="0" applyFont="1" applyBorder="1"/>
    <xf numFmtId="0" fontId="45" fillId="0" borderId="34" xfId="0" applyFont="1" applyBorder="1" applyAlignment="1">
      <alignment horizontal="center"/>
    </xf>
    <xf numFmtId="176" fontId="51" fillId="0" borderId="0" xfId="0" applyNumberFormat="1" applyFont="1" applyAlignment="1">
      <alignment horizontal="right" vertical="center" wrapText="1"/>
    </xf>
    <xf numFmtId="176" fontId="51" fillId="0" borderId="14" xfId="0" applyNumberFormat="1" applyFont="1" applyBorder="1" applyAlignment="1">
      <alignment horizontal="right" vertical="center" wrapText="1"/>
    </xf>
    <xf numFmtId="176" fontId="51" fillId="0" borderId="5" xfId="0" applyNumberFormat="1" applyFont="1" applyBorder="1" applyAlignment="1">
      <alignment horizontal="right" vertical="center" wrapText="1"/>
    </xf>
    <xf numFmtId="176" fontId="54" fillId="0" borderId="0" xfId="0" applyNumberFormat="1" applyFont="1" applyAlignment="1">
      <alignment horizontal="right" vertical="center" wrapText="1"/>
    </xf>
    <xf numFmtId="176" fontId="51" fillId="0" borderId="0" xfId="0" applyNumberFormat="1" applyFont="1" applyAlignment="1">
      <alignment vertical="center" wrapText="1"/>
    </xf>
    <xf numFmtId="176" fontId="38" fillId="0" borderId="0" xfId="0" applyNumberFormat="1" applyFont="1" applyAlignment="1">
      <alignment vertical="center" wrapText="1"/>
    </xf>
    <xf numFmtId="176" fontId="54" fillId="0" borderId="14" xfId="0" applyNumberFormat="1" applyFont="1" applyBorder="1" applyAlignment="1">
      <alignment vertical="center" wrapText="1"/>
    </xf>
    <xf numFmtId="176" fontId="54" fillId="0" borderId="0" xfId="0" applyNumberFormat="1" applyFont="1" applyAlignment="1">
      <alignment vertical="center" wrapText="1"/>
    </xf>
    <xf numFmtId="176" fontId="51" fillId="0" borderId="5" xfId="0" applyNumberFormat="1" applyFont="1" applyBorder="1" applyAlignment="1">
      <alignment vertical="center" wrapText="1"/>
    </xf>
    <xf numFmtId="180" fontId="3" fillId="0" borderId="0" xfId="0" applyNumberFormat="1" applyFont="1" applyAlignment="1">
      <alignment horizontal="center"/>
    </xf>
    <xf numFmtId="180" fontId="3" fillId="0" borderId="1" xfId="0" applyNumberFormat="1" applyFont="1" applyBorder="1" applyAlignment="1">
      <alignment horizontal="distributed"/>
    </xf>
    <xf numFmtId="180" fontId="3" fillId="0" borderId="1" xfId="0" quotePrefix="1" applyNumberFormat="1" applyFont="1" applyBorder="1" applyAlignment="1">
      <alignment horizontal="distributed"/>
    </xf>
    <xf numFmtId="0" fontId="3" fillId="0" borderId="1" xfId="0" applyFont="1" applyBorder="1" applyAlignment="1">
      <alignment horizontal="distributed"/>
    </xf>
    <xf numFmtId="0" fontId="4" fillId="0" borderId="1" xfId="0" applyFont="1" applyBorder="1" applyAlignment="1">
      <alignment horizontal="distributed"/>
    </xf>
    <xf numFmtId="180" fontId="4" fillId="0" borderId="0" xfId="0" applyNumberFormat="1" applyFont="1" applyAlignment="1">
      <alignment horizontal="center"/>
    </xf>
    <xf numFmtId="0" fontId="35" fillId="0" borderId="0" xfId="0" applyFont="1" applyAlignment="1">
      <alignment horizontal="left"/>
    </xf>
    <xf numFmtId="0" fontId="4" fillId="0" borderId="0" xfId="0" applyFont="1" applyAlignment="1">
      <alignment horizontal="left"/>
    </xf>
    <xf numFmtId="178" fontId="7" fillId="0" borderId="0" xfId="0" applyNumberFormat="1" applyFont="1" applyAlignment="1">
      <alignment horizontal="center"/>
    </xf>
    <xf numFmtId="180" fontId="3" fillId="0" borderId="1" xfId="0" applyNumberFormat="1" applyFont="1" applyBorder="1" applyAlignment="1">
      <alignment horizontal="center" vertical="center"/>
    </xf>
    <xf numFmtId="180" fontId="3" fillId="0" borderId="1" xfId="0" quotePrefix="1" applyNumberFormat="1" applyFont="1" applyBorder="1" applyAlignment="1">
      <alignment horizontal="center" vertical="center"/>
    </xf>
    <xf numFmtId="180" fontId="3" fillId="0" borderId="0" xfId="0" applyNumberFormat="1" applyFont="1" applyAlignment="1">
      <alignment horizontal="right"/>
    </xf>
    <xf numFmtId="0" fontId="7" fillId="0" borderId="0" xfId="0" applyFont="1" applyAlignment="1">
      <alignment horizontal="center"/>
    </xf>
    <xf numFmtId="0" fontId="3" fillId="0" borderId="0" xfId="0" applyFont="1" applyAlignment="1">
      <alignment horizontal="right"/>
    </xf>
    <xf numFmtId="177" fontId="3" fillId="0" borderId="2" xfId="0" applyNumberFormat="1" applyFont="1" applyBorder="1" applyAlignment="1">
      <alignment horizontal="distributed"/>
    </xf>
    <xf numFmtId="177" fontId="3" fillId="0" borderId="0" xfId="0" applyNumberFormat="1" applyFont="1" applyAlignment="1">
      <alignment horizontal="distributed" vertical="center" shrinkToFit="1"/>
    </xf>
    <xf numFmtId="177" fontId="3" fillId="0" borderId="1" xfId="0" applyNumberFormat="1" applyFont="1" applyBorder="1" applyAlignment="1">
      <alignment horizontal="distributed" vertical="center" shrinkToFit="1"/>
    </xf>
    <xf numFmtId="177" fontId="3" fillId="0" borderId="0" xfId="0" applyNumberFormat="1" applyFont="1" applyAlignment="1">
      <alignment horizontal="distributed" vertical="center" wrapText="1" shrinkToFit="1"/>
    </xf>
    <xf numFmtId="0" fontId="3" fillId="0" borderId="1" xfId="0" applyFont="1" applyBorder="1" applyAlignment="1">
      <alignment horizontal="distributed" vertical="center"/>
    </xf>
    <xf numFmtId="0" fontId="3" fillId="0" borderId="0" xfId="0" applyFont="1" applyAlignment="1">
      <alignment horizontal="left"/>
    </xf>
    <xf numFmtId="0" fontId="41" fillId="0" borderId="0" xfId="0" applyFont="1" applyAlignment="1">
      <alignment horizontal="center"/>
    </xf>
    <xf numFmtId="0" fontId="4" fillId="0" borderId="1" xfId="0" applyFont="1" applyBorder="1" applyAlignment="1">
      <alignment horizontal="distributed" vertical="center"/>
    </xf>
    <xf numFmtId="0" fontId="3" fillId="0" borderId="1" xfId="0" applyFont="1" applyBorder="1" applyAlignment="1">
      <alignment horizontal="center" vertical="center"/>
    </xf>
    <xf numFmtId="0" fontId="3" fillId="0" borderId="1" xfId="0" applyFont="1" applyBorder="1" applyAlignment="1">
      <alignment horizontal="distributed" vertical="center" wrapText="1"/>
    </xf>
    <xf numFmtId="0" fontId="4" fillId="0" borderId="1" xfId="0" applyFont="1" applyBorder="1" applyAlignment="1">
      <alignment horizontal="distributed" vertical="center" wrapText="1"/>
    </xf>
    <xf numFmtId="180" fontId="4" fillId="0" borderId="0" xfId="0" applyNumberFormat="1" applyFont="1" applyAlignment="1">
      <alignment horizontal="center" vertical="center"/>
    </xf>
    <xf numFmtId="177" fontId="3" fillId="0" borderId="0" xfId="0" applyNumberFormat="1" applyFont="1" applyAlignment="1">
      <alignment horizontal="left"/>
    </xf>
    <xf numFmtId="177" fontId="7" fillId="0" borderId="0" xfId="0" applyNumberFormat="1" applyFont="1" applyAlignment="1">
      <alignment horizontal="center"/>
    </xf>
    <xf numFmtId="177" fontId="8" fillId="0" borderId="0" xfId="0" applyNumberFormat="1" applyFont="1" applyAlignment="1">
      <alignment horizontal="center"/>
    </xf>
    <xf numFmtId="177" fontId="3" fillId="0" borderId="0" xfId="0" applyNumberFormat="1" applyFont="1" applyAlignment="1">
      <alignment horizontal="right"/>
    </xf>
    <xf numFmtId="177" fontId="3" fillId="0" borderId="0" xfId="0" applyNumberFormat="1" applyFont="1" applyAlignment="1">
      <alignment horizontal="distributed" vertical="center" wrapText="1"/>
    </xf>
    <xf numFmtId="177" fontId="3" fillId="0" borderId="1" xfId="0" applyNumberFormat="1" applyFont="1" applyBorder="1" applyAlignment="1">
      <alignment horizontal="distributed" vertical="center" wrapText="1"/>
    </xf>
    <xf numFmtId="0" fontId="3" fillId="0" borderId="0" xfId="0" applyFont="1" applyAlignment="1">
      <alignment horizontal="left" vertical="center" wrapText="1"/>
    </xf>
    <xf numFmtId="0" fontId="3" fillId="0" borderId="14" xfId="0" applyFont="1" applyBorder="1" applyAlignment="1">
      <alignment horizontal="distributed" vertical="center" wrapText="1"/>
    </xf>
    <xf numFmtId="0" fontId="5" fillId="0" borderId="0" xfId="0" applyFont="1" applyAlignment="1">
      <alignment horizontal="left" vertical="center"/>
    </xf>
    <xf numFmtId="177" fontId="3" fillId="0" borderId="14" xfId="0" applyNumberFormat="1" applyFont="1" applyBorder="1" applyAlignment="1">
      <alignment horizontal="distributed" vertical="center" wrapText="1"/>
    </xf>
    <xf numFmtId="0" fontId="5" fillId="0" borderId="0" xfId="0" applyFont="1" applyAlignment="1">
      <alignment horizontal="left" vertical="center" wrapText="1"/>
    </xf>
    <xf numFmtId="0" fontId="3" fillId="0" borderId="25" xfId="11" applyFont="1" applyBorder="1" applyAlignment="1">
      <alignment horizontal="distributed" vertical="center" wrapText="1"/>
    </xf>
    <xf numFmtId="0" fontId="5" fillId="0" borderId="26" xfId="11" applyFont="1" applyBorder="1" applyAlignment="1">
      <alignment horizontal="distributed" vertical="center" wrapText="1"/>
    </xf>
    <xf numFmtId="0" fontId="5" fillId="0" borderId="27" xfId="11" applyFont="1" applyBorder="1" applyAlignment="1">
      <alignment horizontal="distributed" vertical="center" wrapText="1"/>
    </xf>
    <xf numFmtId="0" fontId="3" fillId="0" borderId="26" xfId="11" applyFont="1" applyBorder="1" applyAlignment="1">
      <alignment horizontal="distributed" vertical="center" wrapText="1"/>
    </xf>
    <xf numFmtId="0" fontId="3" fillId="0" borderId="27" xfId="11" applyFont="1" applyBorder="1" applyAlignment="1">
      <alignment horizontal="distributed" vertical="center" wrapText="1"/>
    </xf>
    <xf numFmtId="0" fontId="62" fillId="0" borderId="29" xfId="11" applyFont="1" applyBorder="1" applyAlignment="1">
      <alignment horizontal="center" vertical="center" wrapText="1"/>
    </xf>
    <xf numFmtId="0" fontId="62" fillId="0" borderId="32" xfId="11" applyFont="1" applyBorder="1" applyAlignment="1">
      <alignment horizontal="center" vertical="center" wrapText="1"/>
    </xf>
    <xf numFmtId="0" fontId="50" fillId="0" borderId="14" xfId="0" applyFont="1" applyBorder="1" applyAlignment="1">
      <alignment horizontal="center" vertical="center" wrapText="1"/>
    </xf>
    <xf numFmtId="0" fontId="36" fillId="0" borderId="14" xfId="0" applyFont="1" applyBorder="1" applyAlignment="1">
      <alignment horizontal="center" vertical="center" wrapText="1"/>
    </xf>
    <xf numFmtId="176" fontId="23" fillId="0" borderId="20" xfId="5" applyNumberFormat="1" applyFont="1" applyBorder="1" applyAlignment="1">
      <alignment horizontal="center" vertical="center" wrapText="1"/>
    </xf>
    <xf numFmtId="176" fontId="23" fillId="0" borderId="21" xfId="5" applyNumberFormat="1" applyFont="1" applyBorder="1" applyAlignment="1">
      <alignment horizontal="center" vertical="center" wrapText="1"/>
    </xf>
    <xf numFmtId="0" fontId="19" fillId="0" borderId="0" xfId="3" applyFont="1" applyAlignment="1">
      <alignment horizontal="left" vertical="center"/>
    </xf>
    <xf numFmtId="0" fontId="22" fillId="0" borderId="0" xfId="5" applyFont="1" applyAlignment="1">
      <alignment horizontal="center" vertical="top"/>
    </xf>
    <xf numFmtId="49" fontId="23" fillId="0" borderId="16" xfId="5" applyNumberFormat="1" applyFont="1" applyBorder="1" applyAlignment="1">
      <alignment horizontal="center" vertical="center" wrapText="1"/>
    </xf>
    <xf numFmtId="183" fontId="15" fillId="0" borderId="16" xfId="5" applyNumberFormat="1" applyFont="1" applyBorder="1" applyAlignment="1">
      <alignment horizontal="distributed" vertical="center" indent="1" shrinkToFit="1"/>
    </xf>
    <xf numFmtId="176" fontId="15" fillId="0" borderId="17" xfId="4" applyNumberFormat="1" applyFont="1" applyBorder="1" applyAlignment="1">
      <alignment horizontal="distributed" vertical="center" wrapText="1" indent="2" shrinkToFit="1"/>
    </xf>
    <xf numFmtId="176" fontId="15" fillId="0" borderId="2" xfId="4" applyNumberFormat="1" applyFont="1" applyBorder="1" applyAlignment="1">
      <alignment horizontal="distributed" vertical="center" wrapText="1" indent="2" shrinkToFit="1"/>
    </xf>
    <xf numFmtId="176" fontId="15" fillId="0" borderId="18" xfId="4" applyNumberFormat="1" applyFont="1" applyBorder="1" applyAlignment="1">
      <alignment horizontal="distributed" vertical="center" wrapText="1" indent="2" shrinkToFit="1"/>
    </xf>
    <xf numFmtId="176" fontId="23" fillId="0" borderId="19" xfId="5" applyNumberFormat="1" applyFont="1" applyBorder="1" applyAlignment="1">
      <alignment horizontal="center" vertical="center" wrapText="1"/>
    </xf>
    <xf numFmtId="176" fontId="23" fillId="0" borderId="22" xfId="5" applyNumberFormat="1" applyFont="1" applyBorder="1" applyAlignment="1">
      <alignment horizontal="center" vertical="center" wrapText="1"/>
    </xf>
    <xf numFmtId="176" fontId="23" fillId="0" borderId="19" xfId="5" applyNumberFormat="1" applyFont="1" applyBorder="1" applyAlignment="1">
      <alignment horizontal="center" vertical="center" shrinkToFit="1"/>
    </xf>
    <xf numFmtId="176" fontId="23" fillId="0" borderId="22" xfId="5" applyNumberFormat="1" applyFont="1" applyBorder="1" applyAlignment="1">
      <alignment horizontal="center" vertical="center" shrinkToFit="1"/>
    </xf>
    <xf numFmtId="0" fontId="19" fillId="0" borderId="0" xfId="6" applyFont="1" applyAlignment="1">
      <alignment horizontal="left" vertical="center"/>
    </xf>
    <xf numFmtId="176" fontId="12" fillId="0" borderId="1" xfId="4" applyNumberFormat="1" applyFont="1" applyBorder="1" applyAlignment="1">
      <alignment horizontal="center" vertical="top" wrapText="1" shrinkToFit="1"/>
    </xf>
    <xf numFmtId="49" fontId="23" fillId="0" borderId="19" xfId="5" applyNumberFormat="1" applyFont="1" applyBorder="1" applyAlignment="1">
      <alignment horizontal="center" vertical="center" wrapText="1"/>
    </xf>
    <xf numFmtId="49" fontId="23" fillId="0" borderId="22" xfId="5" applyNumberFormat="1" applyFont="1" applyBorder="1" applyAlignment="1">
      <alignment horizontal="center" vertical="center" wrapText="1"/>
    </xf>
    <xf numFmtId="49" fontId="23" fillId="0" borderId="23" xfId="5" applyNumberFormat="1" applyFont="1" applyBorder="1" applyAlignment="1">
      <alignment horizontal="center" vertical="center" wrapText="1"/>
    </xf>
    <xf numFmtId="184" fontId="15" fillId="0" borderId="19" xfId="5" applyNumberFormat="1" applyFont="1" applyBorder="1" applyAlignment="1">
      <alignment horizontal="distributed" vertical="center" indent="1" shrinkToFit="1"/>
    </xf>
    <xf numFmtId="184" fontId="15" fillId="0" borderId="22" xfId="5" applyNumberFormat="1" applyFont="1" applyBorder="1" applyAlignment="1">
      <alignment horizontal="distributed" vertical="center" indent="1" shrinkToFit="1"/>
    </xf>
    <xf numFmtId="184" fontId="15" fillId="0" borderId="23" xfId="5" applyNumberFormat="1" applyFont="1" applyBorder="1" applyAlignment="1">
      <alignment horizontal="distributed" vertical="center" indent="1" shrinkToFit="1"/>
    </xf>
    <xf numFmtId="176" fontId="23" fillId="0" borderId="17" xfId="5" applyNumberFormat="1" applyFont="1" applyBorder="1" applyAlignment="1">
      <alignment horizontal="distributed" vertical="center" wrapText="1" indent="2"/>
    </xf>
    <xf numFmtId="176" fontId="23" fillId="0" borderId="2" xfId="5" applyNumberFormat="1" applyFont="1" applyBorder="1" applyAlignment="1">
      <alignment horizontal="distributed" vertical="center" wrapText="1" indent="2"/>
    </xf>
    <xf numFmtId="176" fontId="23" fillId="0" borderId="18" xfId="5" applyNumberFormat="1" applyFont="1" applyBorder="1" applyAlignment="1">
      <alignment horizontal="distributed" vertical="center" wrapText="1" indent="2"/>
    </xf>
    <xf numFmtId="0" fontId="12" fillId="0" borderId="1" xfId="0" applyFont="1" applyBorder="1" applyAlignment="1">
      <alignment horizontal="center"/>
    </xf>
    <xf numFmtId="0" fontId="12" fillId="0" borderId="0" xfId="0" applyFont="1" applyAlignment="1">
      <alignment horizontal="left" wrapText="1"/>
    </xf>
    <xf numFmtId="176" fontId="5" fillId="0" borderId="0" xfId="0" applyNumberFormat="1" applyFont="1" applyAlignment="1">
      <alignment horizontal="right"/>
    </xf>
    <xf numFmtId="176" fontId="5" fillId="0" borderId="6" xfId="0" applyNumberFormat="1" applyFont="1" applyBorder="1" applyAlignment="1">
      <alignment horizontal="right"/>
    </xf>
  </cellXfs>
  <cellStyles count="12">
    <cellStyle name="一般" xfId="0" builtinId="0"/>
    <cellStyle name="一般 2" xfId="3" xr:uid="{00000000-0005-0000-0000-000001000000}"/>
    <cellStyle name="一般 2 2" xfId="5" xr:uid="{00000000-0005-0000-0000-000002000000}"/>
    <cellStyle name="一般 3" xfId="6" xr:uid="{00000000-0005-0000-0000-000003000000}"/>
    <cellStyle name="一般 4" xfId="11" xr:uid="{FAA9CE77-9ACB-4328-8C79-E1265AB5EA8F}"/>
    <cellStyle name="千分位" xfId="1" builtinId="3"/>
    <cellStyle name="千分位 2" xfId="2" xr:uid="{00000000-0005-0000-0000-000005000000}"/>
    <cellStyle name="千分位 2 2" xfId="8" xr:uid="{9200F794-41EE-439A-9793-D5F407454588}"/>
    <cellStyle name="千分位 3" xfId="4" xr:uid="{00000000-0005-0000-0000-000006000000}"/>
    <cellStyle name="千分位 3 2" xfId="9" xr:uid="{662CCD55-93FA-4392-8A88-E2B560814903}"/>
    <cellStyle name="千分位 4" xfId="7" xr:uid="{46DB6E90-F9F5-46E7-A201-2D8C8A2B0107}"/>
    <cellStyle name="百分比" xfId="10"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21</xdr:col>
      <xdr:colOff>280148</xdr:colOff>
      <xdr:row>7</xdr:row>
      <xdr:rowOff>89646</xdr:rowOff>
    </xdr:from>
    <xdr:to>
      <xdr:col>23</xdr:col>
      <xdr:colOff>606800</xdr:colOff>
      <xdr:row>14</xdr:row>
      <xdr:rowOff>145675</xdr:rowOff>
    </xdr:to>
    <xdr:sp macro="" textlink="">
      <xdr:nvSpPr>
        <xdr:cNvPr id="2" name="六邊形 1">
          <a:extLst>
            <a:ext uri="{FF2B5EF4-FFF2-40B4-BE49-F238E27FC236}">
              <a16:creationId xmlns:a16="http://schemas.microsoft.com/office/drawing/2014/main" id="{4618A11C-3510-41B4-AA06-A3D68B60B6B1}"/>
            </a:ext>
          </a:extLst>
        </xdr:cNvPr>
        <xdr:cNvSpPr/>
      </xdr:nvSpPr>
      <xdr:spPr>
        <a:xfrm>
          <a:off x="13662773" y="1823196"/>
          <a:ext cx="2946027" cy="1789579"/>
        </a:xfrm>
        <a:prstGeom prst="hexag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TW" altLang="en-US" sz="1100">
              <a:latin typeface="微軟正黑體" panose="020B0604030504040204" pitchFamily="34" charset="-120"/>
              <a:ea typeface="微軟正黑體" panose="020B0604030504040204" pitchFamily="34" charset="-120"/>
            </a:rPr>
            <a:t>使用時，記得先把前期數字</a:t>
          </a:r>
          <a:r>
            <a:rPr lang="en-US" altLang="zh-TW" sz="1100">
              <a:latin typeface="微軟正黑體" panose="020B0604030504040204" pitchFamily="34" charset="-120"/>
              <a:ea typeface="微軟正黑體" panose="020B0604030504040204" pitchFamily="34" charset="-120"/>
            </a:rPr>
            <a:t>【</a:t>
          </a:r>
          <a:r>
            <a:rPr lang="zh-TW" altLang="en-US" sz="1100" b="1">
              <a:latin typeface="微軟正黑體" panose="020B0604030504040204" pitchFamily="34" charset="-120"/>
              <a:ea typeface="微軟正黑體" panose="020B0604030504040204" pitchFamily="34" charset="-120"/>
            </a:rPr>
            <a:t>貼上值</a:t>
          </a:r>
          <a:r>
            <a:rPr lang="en-US" altLang="zh-TW" sz="1100">
              <a:latin typeface="微軟正黑體" panose="020B0604030504040204" pitchFamily="34" charset="-120"/>
              <a:ea typeface="微軟正黑體" panose="020B0604030504040204" pitchFamily="34" charset="-120"/>
            </a:rPr>
            <a:t>】</a:t>
          </a:r>
          <a:r>
            <a:rPr lang="zh-TW" altLang="en-US" sz="1100">
              <a:latin typeface="微軟正黑體" panose="020B0604030504040204" pitchFamily="34" charset="-120"/>
              <a:ea typeface="微軟正黑體" panose="020B0604030504040204" pitchFamily="34" charset="-120"/>
            </a:rPr>
            <a:t>再把 </a:t>
          </a:r>
          <a:r>
            <a:rPr lang="en-US" altLang="zh-TW" sz="1100">
              <a:latin typeface="微軟正黑體" panose="020B0604030504040204" pitchFamily="34" charset="-120"/>
              <a:ea typeface="微軟正黑體" panose="020B0604030504040204" pitchFamily="34" charset="-120"/>
            </a:rPr>
            <a:t>TB IS BS</a:t>
          </a:r>
          <a:r>
            <a:rPr lang="zh-TW" altLang="en-US" sz="1100">
              <a:latin typeface="微軟正黑體" panose="020B0604030504040204" pitchFamily="34" charset="-120"/>
              <a:ea typeface="微軟正黑體" panose="020B0604030504040204" pitchFamily="34" charset="-120"/>
            </a:rPr>
            <a:t>更新最新數值，更新後檢查數值無誤，即可去</a:t>
          </a:r>
          <a:r>
            <a:rPr lang="en-US" altLang="zh-TW" sz="1100">
              <a:latin typeface="微軟正黑體" panose="020B0604030504040204" pitchFamily="34" charset="-120"/>
              <a:ea typeface="微軟正黑體" panose="020B0604030504040204" pitchFamily="34" charset="-120"/>
            </a:rPr>
            <a:t>WORD</a:t>
          </a:r>
          <a:r>
            <a:rPr lang="zh-TW" altLang="en-US" sz="1100">
              <a:latin typeface="微軟正黑體" panose="020B0604030504040204" pitchFamily="34" charset="-120"/>
              <a:ea typeface="微軟正黑體" panose="020B0604030504040204" pitchFamily="34" charset="-120"/>
            </a:rPr>
            <a:t>更新連結</a:t>
          </a:r>
          <a:endParaRPr lang="en-US" altLang="zh-TW" sz="1100">
            <a:latin typeface="微軟正黑體" panose="020B0604030504040204" pitchFamily="34" charset="-120"/>
            <a:ea typeface="微軟正黑體" panose="020B0604030504040204" pitchFamily="34" charset="-120"/>
          </a:endParaRPr>
        </a:p>
        <a:p>
          <a:pPr algn="l"/>
          <a:endParaRPr lang="zh-TW" altLang="en-US" sz="1100">
            <a:latin typeface="微軟正黑體" panose="020B0604030504040204" pitchFamily="34" charset="-120"/>
            <a:ea typeface="微軟正黑體" panose="020B0604030504040204" pitchFamily="34" charset="-12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610913</xdr:colOff>
      <xdr:row>6</xdr:row>
      <xdr:rowOff>0</xdr:rowOff>
    </xdr:from>
    <xdr:to>
      <xdr:col>16</xdr:col>
      <xdr:colOff>223344</xdr:colOff>
      <xdr:row>17</xdr:row>
      <xdr:rowOff>98535</xdr:rowOff>
    </xdr:to>
    <xdr:sp macro="" textlink="">
      <xdr:nvSpPr>
        <xdr:cNvPr id="2" name="六邊形 1">
          <a:extLst>
            <a:ext uri="{FF2B5EF4-FFF2-40B4-BE49-F238E27FC236}">
              <a16:creationId xmlns:a16="http://schemas.microsoft.com/office/drawing/2014/main" id="{AA2BD7A8-9B13-4FFC-8052-9667466D34FA}"/>
            </a:ext>
          </a:extLst>
        </xdr:cNvPr>
        <xdr:cNvSpPr/>
      </xdr:nvSpPr>
      <xdr:spPr>
        <a:xfrm>
          <a:off x="8307113" y="1200150"/>
          <a:ext cx="2660431" cy="2203560"/>
        </a:xfrm>
        <a:prstGeom prst="hexag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TW" altLang="en-US" sz="1100">
              <a:latin typeface="微軟正黑體" panose="020B0604030504040204" pitchFamily="34" charset="-120"/>
              <a:ea typeface="微軟正黑體" panose="020B0604030504040204" pitchFamily="34" charset="-120"/>
            </a:rPr>
            <a:t>使用時，記得先把前期數字</a:t>
          </a:r>
          <a:r>
            <a:rPr lang="en-US" altLang="zh-TW" sz="1100">
              <a:latin typeface="微軟正黑體" panose="020B0604030504040204" pitchFamily="34" charset="-120"/>
              <a:ea typeface="微軟正黑體" panose="020B0604030504040204" pitchFamily="34" charset="-120"/>
            </a:rPr>
            <a:t>【</a:t>
          </a:r>
          <a:r>
            <a:rPr lang="zh-TW" altLang="en-US" sz="1100" b="1">
              <a:latin typeface="微軟正黑體" panose="020B0604030504040204" pitchFamily="34" charset="-120"/>
              <a:ea typeface="微軟正黑體" panose="020B0604030504040204" pitchFamily="34" charset="-120"/>
            </a:rPr>
            <a:t>貼上值</a:t>
          </a:r>
          <a:r>
            <a:rPr lang="en-US" altLang="zh-TW" sz="1100">
              <a:latin typeface="微軟正黑體" panose="020B0604030504040204" pitchFamily="34" charset="-120"/>
              <a:ea typeface="微軟正黑體" panose="020B0604030504040204" pitchFamily="34" charset="-120"/>
            </a:rPr>
            <a:t>】</a:t>
          </a:r>
          <a:r>
            <a:rPr lang="zh-TW" altLang="en-US" sz="1100">
              <a:latin typeface="微軟正黑體" panose="020B0604030504040204" pitchFamily="34" charset="-120"/>
              <a:ea typeface="微軟正黑體" panose="020B0604030504040204" pitchFamily="34" charset="-120"/>
            </a:rPr>
            <a:t>再把 </a:t>
          </a:r>
          <a:r>
            <a:rPr lang="en-US" altLang="zh-TW" sz="1100">
              <a:latin typeface="微軟正黑體" panose="020B0604030504040204" pitchFamily="34" charset="-120"/>
              <a:ea typeface="微軟正黑體" panose="020B0604030504040204" pitchFamily="34" charset="-120"/>
            </a:rPr>
            <a:t>TB IS BS</a:t>
          </a:r>
          <a:r>
            <a:rPr lang="zh-TW" altLang="en-US" sz="1100">
              <a:latin typeface="微軟正黑體" panose="020B0604030504040204" pitchFamily="34" charset="-120"/>
              <a:ea typeface="微軟正黑體" panose="020B0604030504040204" pitchFamily="34" charset="-120"/>
            </a:rPr>
            <a:t>更新最新數值，更新後檢查數值無誤，即可去</a:t>
          </a:r>
          <a:r>
            <a:rPr lang="en-US" altLang="zh-TW" sz="1100">
              <a:latin typeface="微軟正黑體" panose="020B0604030504040204" pitchFamily="34" charset="-120"/>
              <a:ea typeface="微軟正黑體" panose="020B0604030504040204" pitchFamily="34" charset="-120"/>
            </a:rPr>
            <a:t>WORD</a:t>
          </a:r>
          <a:r>
            <a:rPr lang="zh-TW" altLang="en-US" sz="1100">
              <a:latin typeface="微軟正黑體" panose="020B0604030504040204" pitchFamily="34" charset="-120"/>
              <a:ea typeface="微軟正黑體" panose="020B0604030504040204" pitchFamily="34" charset="-120"/>
            </a:rPr>
            <a:t>更新連結</a:t>
          </a:r>
          <a:endParaRPr lang="en-US" altLang="zh-TW" sz="1100">
            <a:latin typeface="微軟正黑體" panose="020B0604030504040204" pitchFamily="34" charset="-120"/>
            <a:ea typeface="微軟正黑體" panose="020B0604030504040204" pitchFamily="34" charset="-120"/>
          </a:endParaRPr>
        </a:p>
        <a:p>
          <a:pPr algn="l"/>
          <a:endParaRPr lang="zh-TW" altLang="en-US" sz="1100">
            <a:latin typeface="微軟正黑體" panose="020B0604030504040204" pitchFamily="34" charset="-120"/>
            <a:ea typeface="微軟正黑體" panose="020B0604030504040204" pitchFamily="34" charset="-12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192.168.0.203\Acc\@&#23529;&#35336;&#32068;\112&#24180;&#31805;&#35657;\112&#24180;&#36001;&#31237;&#31805;-&#21109;&#23458;&#20849;&#22909;\112&#36001;&#31805;-&#21109;&#23458;&#20849;&#22909;\112&#36001;&#31805;-&#36001;&#22577;&#22235;&#34920;(&#21109;&#23458;&#20849;&#22909;).xlsx" TargetMode="External"/><Relationship Id="rId1" Type="http://schemas.openxmlformats.org/officeDocument/2006/relationships/externalLinkPath" Target="/@&#23529;&#35336;&#32068;/112&#24180;&#31805;&#35657;/112&#24180;&#36001;&#31237;&#31805;-&#21109;&#23458;&#20849;&#22909;/112&#36001;&#31805;-&#21109;&#23458;&#20849;&#22909;/112&#36001;&#31805;-&#36001;&#22577;&#22235;&#34920;(&#21109;&#23458;&#20849;&#22909;).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Z:\@&#23529;&#35336;&#32068;\112&#24180;&#31805;&#35657;\112&#24180;&#36001;&#31237;&#31805;-&#27427;&#27427;&#31185;&#25216;\112&#36001;&#22577;-&#27427;&#27427;&#29983;&#25216;\112&#36001;&#31805;-&#36001;&#22577;&#22235;&#34920;(&#27427;&#27427;&#29983;&#25216;&#39135;&#21697;).xlsx" TargetMode="External"/><Relationship Id="rId1" Type="http://schemas.openxmlformats.org/officeDocument/2006/relationships/externalLinkPath" Target="/@&#23529;&#35336;&#32068;/112&#24180;&#31805;&#35657;/112&#24180;&#36001;&#31237;&#31805;-&#27427;&#27427;&#31185;&#25216;/112&#36001;&#22577;-&#27427;&#27427;&#29983;&#25216;/112&#36001;&#31805;-&#36001;&#22577;&#22235;&#34920;(&#27427;&#27427;&#29983;&#25216;&#39135;&#2169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資產負債表"/>
      <sheetName val="損益表"/>
      <sheetName val="股東變動表"/>
      <sheetName val="現金流量表"/>
      <sheetName val="調節表"/>
      <sheetName val="附註"/>
      <sheetName val="附註用人費用"/>
      <sheetName val="附註固定資產"/>
      <sheetName val="TB"/>
      <sheetName val="BS"/>
      <sheetName val="IS"/>
    </sheetNames>
    <sheetDataSet>
      <sheetData sheetId="0"/>
      <sheetData sheetId="1"/>
      <sheetData sheetId="2"/>
      <sheetData sheetId="3"/>
      <sheetData sheetId="4"/>
      <sheetData sheetId="5"/>
      <sheetData sheetId="6"/>
      <sheetData sheetId="7"/>
      <sheetData sheetId="8">
        <row r="61">
          <cell r="I61">
            <v>22582000</v>
          </cell>
        </row>
        <row r="65">
          <cell r="I65">
            <v>9241904</v>
          </cell>
        </row>
        <row r="66">
          <cell r="J66">
            <v>585321</v>
          </cell>
        </row>
      </sheetData>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資產負債表"/>
      <sheetName val="損益表"/>
      <sheetName val="股東變動表"/>
      <sheetName val="現金流量表"/>
      <sheetName val="調節表"/>
      <sheetName val="附註"/>
      <sheetName val="附註用人費用"/>
      <sheetName val="附註固定資產"/>
      <sheetName val="當期資產負債表"/>
      <sheetName val="當期損益表"/>
      <sheetName val="試算表"/>
    </sheetNames>
    <sheetDataSet>
      <sheetData sheetId="0"/>
      <sheetData sheetId="1"/>
      <sheetData sheetId="2"/>
      <sheetData sheetId="3"/>
      <sheetData sheetId="4"/>
      <sheetData sheetId="5"/>
      <sheetData sheetId="6"/>
      <sheetData sheetId="7"/>
      <sheetData sheetId="8"/>
      <sheetData sheetId="9">
        <row r="4">
          <cell r="C4">
            <v>218352933</v>
          </cell>
        </row>
        <row r="5">
          <cell r="C5">
            <v>3571428</v>
          </cell>
        </row>
        <row r="6">
          <cell r="C6">
            <v>-9305</v>
          </cell>
        </row>
        <row r="7">
          <cell r="C7">
            <v>-293769</v>
          </cell>
        </row>
        <row r="28">
          <cell r="C28">
            <v>18984961</v>
          </cell>
        </row>
        <row r="34">
          <cell r="C34">
            <v>2287870</v>
          </cell>
        </row>
        <row r="37">
          <cell r="C37">
            <v>1162140</v>
          </cell>
        </row>
        <row r="41">
          <cell r="C41">
            <v>4015188</v>
          </cell>
        </row>
        <row r="42">
          <cell r="C42">
            <v>882411</v>
          </cell>
        </row>
        <row r="54">
          <cell r="C54">
            <v>14795026</v>
          </cell>
        </row>
        <row r="63">
          <cell r="C63">
            <v>1232742</v>
          </cell>
        </row>
        <row r="68">
          <cell r="C68">
            <v>667200</v>
          </cell>
        </row>
        <row r="74">
          <cell r="C74">
            <v>1469201</v>
          </cell>
        </row>
        <row r="76">
          <cell r="C76">
            <v>316312</v>
          </cell>
        </row>
      </sheetData>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53"/>
  <sheetViews>
    <sheetView tabSelected="1" view="pageBreakPreview" topLeftCell="A24" zoomScale="130" zoomScaleNormal="115" zoomScaleSheetLayoutView="130" workbookViewId="0">
      <selection activeCell="D33" sqref="D33"/>
    </sheetView>
  </sheetViews>
  <sheetFormatPr defaultColWidth="9" defaultRowHeight="16.5"/>
  <cols>
    <col min="1" max="1" width="36.625" style="1" customWidth="1"/>
    <col min="2" max="2" width="1.5" style="8" customWidth="1"/>
    <col min="3" max="3" width="2.125" style="1" customWidth="1"/>
    <col min="4" max="4" width="14.125" style="1" customWidth="1"/>
    <col min="5" max="5" width="1.625" style="10" customWidth="1"/>
    <col min="6" max="6" width="7.375" style="22" bestFit="1" customWidth="1"/>
    <col min="7" max="7" width="2.875" style="10" customWidth="1"/>
    <col min="8" max="8" width="2.5" style="1" bestFit="1" customWidth="1"/>
    <col min="9" max="9" width="14.125" style="1" customWidth="1"/>
    <col min="10" max="10" width="1.625" style="10" customWidth="1"/>
    <col min="11" max="11" width="7.375" style="22" bestFit="1" customWidth="1"/>
    <col min="12" max="12" width="1.625" style="1" customWidth="1"/>
    <col min="13" max="13" width="2.875" style="10" customWidth="1"/>
    <col min="14" max="14" width="2.125" style="1" customWidth="1"/>
    <col min="15" max="15" width="12" style="1" bestFit="1" customWidth="1"/>
    <col min="16" max="16" width="3.125" style="10" customWidth="1"/>
    <col min="17" max="17" width="7.125" style="22" customWidth="1"/>
    <col min="18" max="18" width="9" style="1"/>
    <col min="19" max="19" width="17.625" style="1" customWidth="1"/>
    <col min="20" max="20" width="9" style="1"/>
    <col min="21" max="21" width="12.375" style="1" bestFit="1" customWidth="1"/>
    <col min="22" max="16384" width="9" style="1"/>
  </cols>
  <sheetData>
    <row r="1" spans="1:21" s="26" customFormat="1" ht="21.95" customHeight="1">
      <c r="A1" s="470" t="s">
        <v>1033</v>
      </c>
      <c r="B1" s="470"/>
      <c r="C1" s="470"/>
      <c r="D1" s="470"/>
      <c r="E1" s="470"/>
      <c r="F1" s="470"/>
      <c r="G1" s="470"/>
      <c r="H1" s="470"/>
      <c r="I1" s="470"/>
      <c r="J1" s="470"/>
      <c r="K1" s="470"/>
      <c r="L1" s="470"/>
      <c r="M1" s="144"/>
      <c r="N1" s="144"/>
      <c r="O1" s="144"/>
      <c r="P1" s="144"/>
      <c r="Q1" s="144"/>
    </row>
    <row r="2" spans="1:21" s="26" customFormat="1" ht="21.95" customHeight="1">
      <c r="A2" s="470" t="s">
        <v>1008</v>
      </c>
      <c r="B2" s="470"/>
      <c r="C2" s="470"/>
      <c r="D2" s="470"/>
      <c r="E2" s="470"/>
      <c r="F2" s="470"/>
      <c r="G2" s="470"/>
      <c r="H2" s="470"/>
      <c r="I2" s="470"/>
      <c r="J2" s="470"/>
      <c r="K2" s="470"/>
      <c r="L2" s="470"/>
      <c r="M2" s="144"/>
      <c r="N2" s="144"/>
      <c r="O2" s="144"/>
      <c r="P2" s="144"/>
      <c r="Q2" s="144"/>
    </row>
    <row r="3" spans="1:21" s="26" customFormat="1" ht="21.95" customHeight="1">
      <c r="A3" s="470" t="s">
        <v>1965</v>
      </c>
      <c r="B3" s="470"/>
      <c r="C3" s="470"/>
      <c r="D3" s="470"/>
      <c r="E3" s="470"/>
      <c r="F3" s="470"/>
      <c r="G3" s="470"/>
      <c r="H3" s="470"/>
      <c r="I3" s="470"/>
      <c r="J3" s="470"/>
      <c r="K3" s="470"/>
      <c r="L3" s="470"/>
      <c r="M3" s="144"/>
      <c r="N3" s="144"/>
      <c r="O3" s="144"/>
      <c r="P3" s="144"/>
      <c r="Q3" s="144"/>
    </row>
    <row r="4" spans="1:21" ht="17.100000000000001" customHeight="1">
      <c r="A4" s="473" t="s">
        <v>3</v>
      </c>
      <c r="B4" s="473"/>
      <c r="C4" s="473"/>
      <c r="D4" s="473"/>
      <c r="E4" s="473"/>
      <c r="F4" s="473"/>
      <c r="G4" s="473"/>
      <c r="H4" s="473"/>
      <c r="I4" s="473"/>
      <c r="J4" s="473"/>
      <c r="K4" s="473"/>
      <c r="L4" s="473"/>
      <c r="M4" s="145"/>
      <c r="N4" s="145"/>
      <c r="O4" s="145"/>
      <c r="P4" s="145"/>
      <c r="Q4" s="145"/>
    </row>
    <row r="5" spans="1:21" ht="4.5" customHeight="1">
      <c r="A5" s="145"/>
      <c r="B5" s="145"/>
      <c r="C5" s="145"/>
      <c r="D5" s="145"/>
      <c r="E5" s="145"/>
      <c r="F5" s="145"/>
      <c r="G5" s="145"/>
      <c r="H5" s="462"/>
      <c r="I5" s="462"/>
      <c r="J5" s="462"/>
      <c r="K5" s="462"/>
      <c r="L5" s="145"/>
      <c r="M5" s="145"/>
      <c r="N5" s="462" t="s">
        <v>1024</v>
      </c>
      <c r="O5" s="462"/>
      <c r="P5" s="462"/>
      <c r="Q5" s="462"/>
    </row>
    <row r="6" spans="1:21" ht="18" customHeight="1">
      <c r="A6" s="145"/>
      <c r="B6" s="145"/>
      <c r="C6" s="471" t="s">
        <v>1966</v>
      </c>
      <c r="D6" s="472"/>
      <c r="E6" s="472"/>
      <c r="F6" s="472"/>
      <c r="G6" s="145"/>
      <c r="H6" s="471" t="s">
        <v>1034</v>
      </c>
      <c r="I6" s="472"/>
      <c r="J6" s="472"/>
      <c r="K6" s="472"/>
      <c r="L6" s="145"/>
      <c r="M6" s="145"/>
      <c r="N6" s="463" t="s">
        <v>1132</v>
      </c>
      <c r="O6" s="464"/>
      <c r="P6" s="464"/>
      <c r="Q6" s="464"/>
    </row>
    <row r="7" spans="1:21" ht="18" customHeight="1">
      <c r="A7" s="2"/>
      <c r="B7" s="146"/>
      <c r="C7" s="465" t="s">
        <v>18</v>
      </c>
      <c r="D7" s="465"/>
      <c r="E7" s="12"/>
      <c r="F7" s="175" t="s">
        <v>19</v>
      </c>
      <c r="G7" s="2"/>
      <c r="H7" s="465" t="s">
        <v>84</v>
      </c>
      <c r="I7" s="465"/>
      <c r="J7" s="12"/>
      <c r="K7" s="175" t="s">
        <v>1025</v>
      </c>
      <c r="L7" s="12"/>
      <c r="M7" s="1"/>
      <c r="N7" s="465" t="s">
        <v>84</v>
      </c>
      <c r="O7" s="466"/>
      <c r="Q7" s="30" t="s">
        <v>1025</v>
      </c>
    </row>
    <row r="8" spans="1:21" ht="18" customHeight="1">
      <c r="A8" s="173" t="s">
        <v>995</v>
      </c>
      <c r="D8" s="1" t="s">
        <v>13</v>
      </c>
      <c r="E8" s="12" t="s">
        <v>5</v>
      </c>
      <c r="F8" s="21" t="s">
        <v>5</v>
      </c>
      <c r="G8" s="1"/>
      <c r="I8" s="1" t="s">
        <v>1026</v>
      </c>
      <c r="J8" s="12" t="s">
        <v>5</v>
      </c>
      <c r="K8" s="21" t="s">
        <v>5</v>
      </c>
      <c r="L8" s="10"/>
      <c r="M8" s="1"/>
      <c r="O8" s="1" t="s">
        <v>1026</v>
      </c>
      <c r="P8" s="12" t="s">
        <v>5</v>
      </c>
      <c r="Q8" s="21" t="s">
        <v>5</v>
      </c>
    </row>
    <row r="9" spans="1:21" ht="18" customHeight="1">
      <c r="A9" s="2" t="s">
        <v>101</v>
      </c>
      <c r="G9" s="1"/>
      <c r="L9" s="10"/>
      <c r="M9" s="1"/>
    </row>
    <row r="10" spans="1:21" ht="18" customHeight="1">
      <c r="A10" s="48" t="s">
        <v>996</v>
      </c>
      <c r="C10" s="1" t="s">
        <v>7</v>
      </c>
      <c r="D10" s="315">
        <f>SUM(BS!C3:C9)</f>
        <v>5408583</v>
      </c>
      <c r="E10" s="157"/>
      <c r="F10" s="322">
        <f>ROUND(D10/D$25*100,1)</f>
        <v>5.0999999999999996</v>
      </c>
      <c r="G10" s="159"/>
      <c r="H10" s="159" t="s">
        <v>7</v>
      </c>
      <c r="I10" s="315">
        <v>7588579</v>
      </c>
      <c r="J10" s="157"/>
      <c r="K10" s="322">
        <f>ROUND(I10/I$25*100,1)+0.1</f>
        <v>7.6999999999999993</v>
      </c>
      <c r="L10" s="10"/>
      <c r="M10" s="1"/>
      <c r="N10" s="1" t="s">
        <v>7</v>
      </c>
      <c r="O10" s="156">
        <v>20541058</v>
      </c>
      <c r="P10" s="157"/>
      <c r="Q10" s="158">
        <v>18.600000000000001</v>
      </c>
      <c r="S10" s="3">
        <f>D10-I10</f>
        <v>-2179996</v>
      </c>
      <c r="U10" s="3">
        <f>I10-O10</f>
        <v>-12952479</v>
      </c>
    </row>
    <row r="11" spans="1:21" ht="18" customHeight="1">
      <c r="A11" s="48" t="s">
        <v>997</v>
      </c>
      <c r="D11" s="315">
        <f>BS!C10</f>
        <v>4597726</v>
      </c>
      <c r="E11" s="157"/>
      <c r="F11" s="322">
        <f>ROUND(D11/D$25*100,1)</f>
        <v>4.4000000000000004</v>
      </c>
      <c r="G11" s="159"/>
      <c r="H11" s="159"/>
      <c r="I11" s="315">
        <v>3205259</v>
      </c>
      <c r="J11" s="157"/>
      <c r="K11" s="322">
        <f>ROUND(I11/I$25*100,1)</f>
        <v>3.2</v>
      </c>
      <c r="L11" s="10"/>
      <c r="M11" s="1"/>
      <c r="O11" s="156">
        <v>1441674</v>
      </c>
      <c r="P11" s="157"/>
      <c r="Q11" s="158">
        <v>1.3</v>
      </c>
      <c r="S11" s="3">
        <f>I11-D11</f>
        <v>-1392467</v>
      </c>
      <c r="U11" s="3">
        <f t="shared" ref="U11:U16" si="0">O11-I11</f>
        <v>-1763585</v>
      </c>
    </row>
    <row r="12" spans="1:21" ht="18" customHeight="1">
      <c r="A12" s="48" t="s">
        <v>998</v>
      </c>
      <c r="D12" s="315">
        <f>BS!C11</f>
        <v>13444980</v>
      </c>
      <c r="E12" s="157"/>
      <c r="F12" s="322">
        <f t="shared" ref="F12:F16" si="1">ROUND(D12/D$25*100,1)</f>
        <v>12.7</v>
      </c>
      <c r="G12" s="159"/>
      <c r="H12" s="159"/>
      <c r="I12" s="315">
        <v>7243970</v>
      </c>
      <c r="J12" s="157"/>
      <c r="K12" s="322">
        <f t="shared" ref="K12:K16" si="2">ROUND(I12/I$25*100,1)</f>
        <v>7.2</v>
      </c>
      <c r="L12" s="10"/>
      <c r="M12" s="1"/>
      <c r="O12" s="156">
        <v>3176716</v>
      </c>
      <c r="P12" s="157"/>
      <c r="Q12" s="158">
        <v>2.9</v>
      </c>
      <c r="S12" s="3">
        <f t="shared" ref="S12:S16" si="3">I12-D12</f>
        <v>-6201010</v>
      </c>
      <c r="U12" s="3">
        <f t="shared" si="0"/>
        <v>-4067254</v>
      </c>
    </row>
    <row r="13" spans="1:21" ht="18" customHeight="1">
      <c r="A13" s="48" t="s">
        <v>1128</v>
      </c>
      <c r="D13" s="315">
        <f>BS!C12</f>
        <v>1028274</v>
      </c>
      <c r="E13" s="157"/>
      <c r="F13" s="322">
        <f t="shared" si="1"/>
        <v>1</v>
      </c>
      <c r="G13" s="159"/>
      <c r="H13" s="159"/>
      <c r="I13" s="315">
        <v>1197720</v>
      </c>
      <c r="J13" s="157"/>
      <c r="K13" s="322">
        <f t="shared" si="2"/>
        <v>1.2</v>
      </c>
      <c r="L13" s="10"/>
      <c r="M13" s="1"/>
      <c r="O13" s="156">
        <v>1274000</v>
      </c>
      <c r="P13" s="157"/>
      <c r="Q13" s="158">
        <v>1.2</v>
      </c>
      <c r="S13" s="3">
        <f t="shared" si="3"/>
        <v>169446</v>
      </c>
      <c r="U13" s="3">
        <f t="shared" si="0"/>
        <v>76280</v>
      </c>
    </row>
    <row r="14" spans="1:21" ht="18" customHeight="1">
      <c r="A14" s="48" t="s">
        <v>1129</v>
      </c>
      <c r="D14" s="315">
        <f>BS!C13</f>
        <v>2961265</v>
      </c>
      <c r="E14" s="157"/>
      <c r="F14" s="322">
        <f t="shared" si="1"/>
        <v>2.8</v>
      </c>
      <c r="G14" s="160"/>
      <c r="H14" s="159"/>
      <c r="I14" s="315">
        <v>2450275</v>
      </c>
      <c r="J14" s="157"/>
      <c r="K14" s="322">
        <f t="shared" si="2"/>
        <v>2.4</v>
      </c>
      <c r="L14" s="10"/>
      <c r="M14" s="8"/>
      <c r="O14" s="156">
        <v>2136413</v>
      </c>
      <c r="P14" s="157"/>
      <c r="Q14" s="158">
        <v>1.9</v>
      </c>
      <c r="S14" s="3">
        <f t="shared" si="3"/>
        <v>-510990</v>
      </c>
      <c r="U14" s="3">
        <f t="shared" si="0"/>
        <v>-313862</v>
      </c>
    </row>
    <row r="15" spans="1:21" ht="18" customHeight="1">
      <c r="A15" s="48" t="s">
        <v>1130</v>
      </c>
      <c r="D15" s="315">
        <f>BS!C15</f>
        <v>395327</v>
      </c>
      <c r="E15" s="157"/>
      <c r="F15" s="322">
        <f t="shared" si="1"/>
        <v>0.4</v>
      </c>
      <c r="G15" s="159"/>
      <c r="H15" s="159"/>
      <c r="I15" s="315">
        <v>1354094</v>
      </c>
      <c r="J15" s="157"/>
      <c r="K15" s="322">
        <f t="shared" si="2"/>
        <v>1.4</v>
      </c>
      <c r="L15" s="10"/>
      <c r="M15" s="1"/>
      <c r="O15" s="156">
        <v>2128113</v>
      </c>
      <c r="P15" s="157"/>
      <c r="Q15" s="158">
        <v>1.9</v>
      </c>
      <c r="S15" s="3">
        <f t="shared" si="3"/>
        <v>958767</v>
      </c>
      <c r="U15" s="3">
        <f t="shared" si="0"/>
        <v>774019</v>
      </c>
    </row>
    <row r="16" spans="1:21" ht="18" customHeight="1">
      <c r="A16" s="48" t="s">
        <v>1173</v>
      </c>
      <c r="D16" s="315">
        <f>BS!C17</f>
        <v>288811</v>
      </c>
      <c r="E16" s="157"/>
      <c r="F16" s="322">
        <f t="shared" si="1"/>
        <v>0.3</v>
      </c>
      <c r="G16" s="159"/>
      <c r="H16" s="159"/>
      <c r="I16" s="315">
        <v>23825</v>
      </c>
      <c r="J16" s="157"/>
      <c r="K16" s="322">
        <f t="shared" si="2"/>
        <v>0</v>
      </c>
      <c r="L16" s="10"/>
      <c r="M16" s="1"/>
      <c r="O16" s="156">
        <v>1186596</v>
      </c>
      <c r="P16" s="157"/>
      <c r="Q16" s="158">
        <v>1.2000000000000002</v>
      </c>
      <c r="S16" s="3">
        <f t="shared" si="3"/>
        <v>-264986</v>
      </c>
      <c r="U16" s="3">
        <f t="shared" si="0"/>
        <v>1162771</v>
      </c>
    </row>
    <row r="17" spans="1:21" ht="18" customHeight="1">
      <c r="A17" s="16" t="s">
        <v>999</v>
      </c>
      <c r="C17" s="5"/>
      <c r="D17" s="317">
        <f>SUM($D$10:$D$16)</f>
        <v>28124966</v>
      </c>
      <c r="E17" s="157"/>
      <c r="F17" s="323">
        <f>SUM($F$10:$F$16)</f>
        <v>26.7</v>
      </c>
      <c r="G17" s="159"/>
      <c r="H17" s="163"/>
      <c r="I17" s="317">
        <f>SUM($I$10:$I$16)</f>
        <v>23063722</v>
      </c>
      <c r="J17" s="157"/>
      <c r="K17" s="323">
        <f>SUM($K$10:$K$16)</f>
        <v>23.099999999999994</v>
      </c>
      <c r="L17" s="10"/>
      <c r="M17" s="1"/>
      <c r="N17" s="5"/>
      <c r="O17" s="161">
        <v>31884570</v>
      </c>
      <c r="P17" s="157"/>
      <c r="Q17" s="162">
        <v>28.999999999999996</v>
      </c>
      <c r="U17" s="3"/>
    </row>
    <row r="18" spans="1:21" ht="18" customHeight="1">
      <c r="A18" s="18" t="s">
        <v>1000</v>
      </c>
      <c r="D18" s="315"/>
      <c r="E18" s="157"/>
      <c r="F18" s="322"/>
      <c r="G18" s="159"/>
      <c r="H18" s="159"/>
      <c r="I18" s="315"/>
      <c r="J18" s="157"/>
      <c r="K18" s="322"/>
      <c r="L18" s="10"/>
      <c r="M18" s="1"/>
      <c r="O18" s="156"/>
      <c r="P18" s="157"/>
      <c r="Q18" s="158"/>
      <c r="U18" s="3"/>
    </row>
    <row r="19" spans="1:21" ht="18" customHeight="1">
      <c r="A19" s="174" t="s">
        <v>1172</v>
      </c>
      <c r="D19" s="315">
        <f>BS!C21</f>
        <v>54440717</v>
      </c>
      <c r="E19" s="157"/>
      <c r="F19" s="322">
        <f>ROUND(D19/D$25*100,1)</f>
        <v>51.6</v>
      </c>
      <c r="G19" s="157"/>
      <c r="H19" s="159"/>
      <c r="I19" s="315">
        <v>55901057</v>
      </c>
      <c r="J19" s="157"/>
      <c r="K19" s="322">
        <f>ROUND(I19/I$25*100,1)</f>
        <v>55.7</v>
      </c>
      <c r="L19" s="10"/>
      <c r="O19" s="164">
        <v>58976404</v>
      </c>
      <c r="P19" s="157"/>
      <c r="Q19" s="158">
        <v>53.5</v>
      </c>
      <c r="S19" s="13">
        <f>I19-D19</f>
        <v>1460340</v>
      </c>
      <c r="T19" s="154" t="s">
        <v>993</v>
      </c>
      <c r="U19" s="3">
        <f>O19-I19</f>
        <v>3075347</v>
      </c>
    </row>
    <row r="20" spans="1:21" ht="18" customHeight="1">
      <c r="A20" s="174" t="s">
        <v>1171</v>
      </c>
      <c r="D20" s="315">
        <f>BS!C32+BS!C33</f>
        <v>244718</v>
      </c>
      <c r="E20" s="157"/>
      <c r="F20" s="322">
        <f>ROUND(D20/D$25*100,1)</f>
        <v>0.2</v>
      </c>
      <c r="G20" s="157"/>
      <c r="H20" s="159"/>
      <c r="I20" s="315">
        <v>120347</v>
      </c>
      <c r="J20" s="157"/>
      <c r="K20" s="322">
        <f>ROUND(I20/I$25*100,1)</f>
        <v>0.1</v>
      </c>
      <c r="L20" s="10"/>
      <c r="O20" s="164">
        <v>221615</v>
      </c>
      <c r="P20" s="157"/>
      <c r="Q20" s="158">
        <v>0.2</v>
      </c>
      <c r="S20" s="13"/>
      <c r="T20" s="154"/>
      <c r="U20" s="3"/>
    </row>
    <row r="21" spans="1:21" ht="18" customHeight="1">
      <c r="A21" s="174" t="s">
        <v>1170</v>
      </c>
      <c r="D21" s="315">
        <f>BS!C35</f>
        <v>16825600</v>
      </c>
      <c r="E21" s="157"/>
      <c r="F21" s="322">
        <f>ROUND(D21/D$25*100,1)</f>
        <v>15.9</v>
      </c>
      <c r="G21" s="157"/>
      <c r="H21" s="159"/>
      <c r="I21" s="315">
        <v>16825600</v>
      </c>
      <c r="J21" s="157"/>
      <c r="K21" s="322">
        <f>ROUND(I21/I$25*100,1)</f>
        <v>16.8</v>
      </c>
      <c r="L21" s="10"/>
      <c r="O21" s="164">
        <v>16810600</v>
      </c>
      <c r="P21" s="157"/>
      <c r="Q21" s="158">
        <v>15.2</v>
      </c>
      <c r="S21" s="3">
        <f>I21-D21</f>
        <v>0</v>
      </c>
      <c r="T21" s="154"/>
      <c r="U21" s="3">
        <f>O21-I21</f>
        <v>-15000</v>
      </c>
    </row>
    <row r="22" spans="1:21" ht="18" customHeight="1">
      <c r="A22" s="174" t="s">
        <v>2091</v>
      </c>
      <c r="D22" s="315">
        <f>BS!C36</f>
        <v>1596848</v>
      </c>
      <c r="E22" s="157"/>
      <c r="F22" s="322">
        <f>ROUND(D22/D$25*100,1)</f>
        <v>1.5</v>
      </c>
      <c r="G22" s="157"/>
      <c r="H22" s="159"/>
      <c r="I22" s="315">
        <v>0</v>
      </c>
      <c r="J22" s="316"/>
      <c r="K22" s="449">
        <v>0</v>
      </c>
      <c r="L22" s="10"/>
      <c r="O22" s="164"/>
      <c r="P22" s="157"/>
      <c r="Q22" s="158"/>
      <c r="S22" s="3"/>
      <c r="T22" s="154"/>
      <c r="U22" s="3"/>
    </row>
    <row r="23" spans="1:21" ht="18" customHeight="1">
      <c r="A23" s="48" t="s">
        <v>1176</v>
      </c>
      <c r="D23" s="315">
        <f>BS!C37</f>
        <v>4314920</v>
      </c>
      <c r="E23" s="157"/>
      <c r="F23" s="322">
        <f>ROUND(D23/D$25*100,1)</f>
        <v>4.0999999999999996</v>
      </c>
      <c r="G23" s="157"/>
      <c r="H23" s="159"/>
      <c r="I23" s="315">
        <v>4361682</v>
      </c>
      <c r="J23" s="157"/>
      <c r="K23" s="322">
        <f>ROUND(I23/I$25*100,1)</f>
        <v>4.3</v>
      </c>
      <c r="L23" s="10"/>
      <c r="O23" s="164">
        <v>2361682</v>
      </c>
      <c r="P23" s="157"/>
      <c r="Q23" s="158">
        <v>2.1</v>
      </c>
      <c r="S23" s="3">
        <f>I23-D23</f>
        <v>46762</v>
      </c>
      <c r="T23" s="154"/>
      <c r="U23" s="3">
        <f>O23-I23</f>
        <v>-2000000</v>
      </c>
    </row>
    <row r="24" spans="1:21" ht="18" customHeight="1">
      <c r="A24" s="16" t="s">
        <v>1001</v>
      </c>
      <c r="C24" s="5"/>
      <c r="D24" s="317">
        <f>SUM(D19:D23)</f>
        <v>77422803</v>
      </c>
      <c r="E24" s="164"/>
      <c r="F24" s="323">
        <f>SUM(F19:F23)</f>
        <v>73.3</v>
      </c>
      <c r="G24" s="164"/>
      <c r="H24" s="163"/>
      <c r="I24" s="317">
        <f>SUM(I19:I23)</f>
        <v>77208686</v>
      </c>
      <c r="J24" s="164"/>
      <c r="K24" s="323">
        <f>SUM(K19:K23)</f>
        <v>76.900000000000006</v>
      </c>
      <c r="L24" s="22"/>
      <c r="M24" s="13"/>
      <c r="N24" s="5"/>
      <c r="O24" s="165">
        <v>78370301</v>
      </c>
      <c r="P24" s="164"/>
      <c r="Q24" s="162">
        <v>71</v>
      </c>
    </row>
    <row r="25" spans="1:21" ht="18" customHeight="1" thickBot="1">
      <c r="A25" s="7" t="s">
        <v>1002</v>
      </c>
      <c r="B25" s="24"/>
      <c r="C25" s="17" t="s">
        <v>7</v>
      </c>
      <c r="D25" s="318">
        <f>$D$17+$D$24</f>
        <v>105547769</v>
      </c>
      <c r="E25" s="156"/>
      <c r="F25" s="324">
        <f>$F$17+$F$24</f>
        <v>100</v>
      </c>
      <c r="G25" s="156"/>
      <c r="H25" s="166" t="s">
        <v>7</v>
      </c>
      <c r="I25" s="318">
        <f>$I$17+$I$24</f>
        <v>100272408</v>
      </c>
      <c r="J25" s="156"/>
      <c r="K25" s="324">
        <f>$K$17+$K$24</f>
        <v>100</v>
      </c>
      <c r="L25" s="22"/>
      <c r="M25" s="3"/>
      <c r="N25" s="17" t="s">
        <v>7</v>
      </c>
      <c r="O25" s="166">
        <v>110254871</v>
      </c>
      <c r="P25" s="156"/>
      <c r="Q25" s="167">
        <v>100</v>
      </c>
    </row>
    <row r="26" spans="1:21" ht="9.75" customHeight="1" thickTop="1">
      <c r="A26" s="7"/>
      <c r="B26" s="24"/>
      <c r="C26" s="3"/>
      <c r="D26" s="315"/>
      <c r="E26" s="156"/>
      <c r="F26" s="322"/>
      <c r="G26" s="156"/>
      <c r="H26" s="156"/>
      <c r="I26" s="315"/>
      <c r="J26" s="156"/>
      <c r="K26" s="322"/>
      <c r="L26" s="22"/>
      <c r="M26" s="3"/>
      <c r="N26" s="3"/>
      <c r="O26" s="156"/>
      <c r="P26" s="156"/>
      <c r="Q26" s="158"/>
    </row>
    <row r="27" spans="1:21" ht="18" customHeight="1">
      <c r="A27" s="173" t="s">
        <v>1003</v>
      </c>
      <c r="D27" s="315"/>
      <c r="E27" s="157"/>
      <c r="F27" s="322"/>
      <c r="G27" s="160"/>
      <c r="H27" s="159"/>
      <c r="I27" s="315"/>
      <c r="J27" s="157"/>
      <c r="K27" s="322"/>
      <c r="L27" s="9"/>
      <c r="M27" s="8"/>
      <c r="O27" s="156"/>
      <c r="P27" s="157"/>
      <c r="Q27" s="158"/>
    </row>
    <row r="28" spans="1:21" ht="18" customHeight="1">
      <c r="A28" s="2" t="s">
        <v>6</v>
      </c>
      <c r="B28" s="1"/>
      <c r="D28" s="315"/>
      <c r="E28" s="159"/>
      <c r="F28" s="322"/>
      <c r="G28" s="157"/>
      <c r="H28" s="159"/>
      <c r="I28" s="315"/>
      <c r="J28" s="159"/>
      <c r="K28" s="322"/>
      <c r="L28" s="9"/>
      <c r="O28" s="159"/>
      <c r="P28" s="159"/>
      <c r="Q28" s="168"/>
    </row>
    <row r="29" spans="1:21" ht="18" customHeight="1">
      <c r="A29" s="48" t="s">
        <v>2092</v>
      </c>
      <c r="B29" s="1"/>
      <c r="C29" s="159" t="s">
        <v>7</v>
      </c>
      <c r="D29" s="315">
        <f>BS!G5</f>
        <v>311654</v>
      </c>
      <c r="E29" s="159"/>
      <c r="F29" s="322">
        <f t="shared" ref="F29:F34" si="4">ROUND(D29/D$25*100,1)</f>
        <v>0.3</v>
      </c>
      <c r="G29" s="157"/>
      <c r="H29" s="159" t="s">
        <v>7</v>
      </c>
      <c r="I29" s="315">
        <v>2455819</v>
      </c>
      <c r="J29" s="159"/>
      <c r="K29" s="322">
        <f>ROUND(I29/I$25*100,1)</f>
        <v>2.4</v>
      </c>
      <c r="L29" s="9"/>
      <c r="O29" s="156">
        <v>11960991</v>
      </c>
      <c r="P29" s="159"/>
      <c r="Q29" s="158">
        <v>10.8</v>
      </c>
      <c r="S29" s="3">
        <f>D29-I29</f>
        <v>-2144165</v>
      </c>
      <c r="U29" s="3">
        <f t="shared" ref="U29:U34" si="5">I29-O29</f>
        <v>-9505172</v>
      </c>
    </row>
    <row r="30" spans="1:21" ht="18" customHeight="1">
      <c r="A30" s="48" t="s">
        <v>2093</v>
      </c>
      <c r="B30" s="1"/>
      <c r="D30" s="315">
        <f>BS!G6</f>
        <v>4339539</v>
      </c>
      <c r="E30" s="157"/>
      <c r="F30" s="322">
        <f t="shared" si="4"/>
        <v>4.0999999999999996</v>
      </c>
      <c r="G30" s="157"/>
      <c r="H30" s="159"/>
      <c r="I30" s="315">
        <v>5966576</v>
      </c>
      <c r="J30" s="157"/>
      <c r="K30" s="322">
        <f>ROUND(I30/I$25*100,1)-0.1</f>
        <v>5.9</v>
      </c>
      <c r="L30" s="9"/>
      <c r="N30" s="1" t="s">
        <v>7</v>
      </c>
      <c r="O30" s="156">
        <v>3459200</v>
      </c>
      <c r="P30" s="157"/>
      <c r="Q30" s="158">
        <v>3.1</v>
      </c>
      <c r="S30" s="3">
        <f t="shared" ref="S30:S34" si="6">D30-I30</f>
        <v>-1627037</v>
      </c>
      <c r="U30" s="3">
        <f t="shared" si="5"/>
        <v>2507376</v>
      </c>
    </row>
    <row r="31" spans="1:21" ht="18" customHeight="1">
      <c r="A31" s="48" t="s">
        <v>2094</v>
      </c>
      <c r="B31" s="18"/>
      <c r="C31" s="9"/>
      <c r="D31" s="315">
        <f>BS!G7</f>
        <v>11112008</v>
      </c>
      <c r="E31" s="157"/>
      <c r="F31" s="322">
        <f t="shared" si="4"/>
        <v>10.5</v>
      </c>
      <c r="G31" s="157"/>
      <c r="H31" s="169"/>
      <c r="I31" s="315">
        <v>8603814</v>
      </c>
      <c r="J31" s="157"/>
      <c r="K31" s="322">
        <f>ROUND(I31/I$25*100,1)</f>
        <v>8.6</v>
      </c>
      <c r="L31" s="10"/>
      <c r="N31" s="9"/>
      <c r="O31" s="156">
        <v>8369093</v>
      </c>
      <c r="P31" s="157"/>
      <c r="Q31" s="158">
        <v>7.6</v>
      </c>
      <c r="S31" s="3">
        <f t="shared" si="6"/>
        <v>2508194</v>
      </c>
      <c r="U31" s="3">
        <f t="shared" si="5"/>
        <v>234721</v>
      </c>
    </row>
    <row r="32" spans="1:21" ht="18" customHeight="1">
      <c r="A32" s="48" t="s">
        <v>1978</v>
      </c>
      <c r="B32" s="18"/>
      <c r="C32" s="9"/>
      <c r="D32" s="315">
        <v>1202</v>
      </c>
      <c r="E32" s="157"/>
      <c r="F32" s="322">
        <f t="shared" si="4"/>
        <v>0</v>
      </c>
      <c r="G32" s="157"/>
      <c r="H32" s="169"/>
      <c r="I32" s="315">
        <v>0</v>
      </c>
      <c r="J32" s="157"/>
      <c r="K32" s="322">
        <v>0</v>
      </c>
      <c r="L32" s="10"/>
      <c r="N32" s="9"/>
      <c r="O32" s="156"/>
      <c r="P32" s="157"/>
      <c r="Q32" s="158"/>
      <c r="S32" s="3">
        <f t="shared" si="6"/>
        <v>1202</v>
      </c>
      <c r="U32" s="3">
        <f t="shared" si="5"/>
        <v>0</v>
      </c>
    </row>
    <row r="33" spans="1:21" ht="18" customHeight="1">
      <c r="A33" s="48" t="s">
        <v>1169</v>
      </c>
      <c r="B33" s="18"/>
      <c r="C33" s="9"/>
      <c r="D33" s="315">
        <f>BS!G14</f>
        <v>207418</v>
      </c>
      <c r="E33" s="157"/>
      <c r="F33" s="322">
        <f t="shared" si="4"/>
        <v>0.2</v>
      </c>
      <c r="G33" s="157"/>
      <c r="H33" s="169"/>
      <c r="I33" s="315">
        <v>153246</v>
      </c>
      <c r="J33" s="157"/>
      <c r="K33" s="322">
        <f>ROUND(I33/I$25*100,1)</f>
        <v>0.2</v>
      </c>
      <c r="L33" s="10"/>
      <c r="N33" s="9"/>
      <c r="O33" s="156">
        <v>111363</v>
      </c>
      <c r="P33" s="157"/>
      <c r="Q33" s="158">
        <v>0.1</v>
      </c>
      <c r="S33" s="3">
        <f>D33-I33</f>
        <v>54172</v>
      </c>
      <c r="T33" s="154"/>
      <c r="U33" s="3">
        <f t="shared" si="5"/>
        <v>41883</v>
      </c>
    </row>
    <row r="34" spans="1:21" ht="18" customHeight="1">
      <c r="A34" s="48" t="s">
        <v>1175</v>
      </c>
      <c r="B34" s="18"/>
      <c r="C34" s="9"/>
      <c r="D34" s="315">
        <f>BS!G3</f>
        <v>6701448</v>
      </c>
      <c r="E34" s="157"/>
      <c r="F34" s="322">
        <f t="shared" si="4"/>
        <v>6.3</v>
      </c>
      <c r="G34" s="157"/>
      <c r="H34" s="169"/>
      <c r="I34" s="315">
        <v>2594200</v>
      </c>
      <c r="J34" s="157"/>
      <c r="K34" s="322">
        <f>ROUND(I34/I$25*100,1)</f>
        <v>2.6</v>
      </c>
      <c r="L34" s="10"/>
      <c r="N34" s="9"/>
      <c r="O34" s="156">
        <v>2979507</v>
      </c>
      <c r="P34" s="157"/>
      <c r="Q34" s="158">
        <v>2.7</v>
      </c>
      <c r="S34" s="3">
        <f t="shared" si="6"/>
        <v>4107248</v>
      </c>
      <c r="T34" s="154"/>
      <c r="U34" s="3">
        <f t="shared" si="5"/>
        <v>-385307</v>
      </c>
    </row>
    <row r="35" spans="1:21" ht="18" customHeight="1">
      <c r="A35" s="16" t="s">
        <v>1004</v>
      </c>
      <c r="B35" s="1"/>
      <c r="C35" s="5"/>
      <c r="D35" s="317">
        <f>SUM(D29:D34)</f>
        <v>22673269</v>
      </c>
      <c r="E35" s="157"/>
      <c r="F35" s="323">
        <f>SUM(F29:F34)</f>
        <v>21.4</v>
      </c>
      <c r="G35" s="157"/>
      <c r="H35" s="163"/>
      <c r="I35" s="317">
        <f>SUM(I29:I34)</f>
        <v>19773655</v>
      </c>
      <c r="J35" s="157"/>
      <c r="K35" s="323">
        <f>SUM(K29:K34)</f>
        <v>19.7</v>
      </c>
      <c r="L35" s="10"/>
      <c r="N35" s="5"/>
      <c r="O35" s="161">
        <v>26880154</v>
      </c>
      <c r="P35" s="157"/>
      <c r="Q35" s="170">
        <v>24.3</v>
      </c>
      <c r="S35" s="3"/>
      <c r="T35" s="154"/>
      <c r="U35" s="3"/>
    </row>
    <row r="36" spans="1:21" ht="18" customHeight="1">
      <c r="A36" s="2" t="s">
        <v>1005</v>
      </c>
      <c r="B36" s="18"/>
      <c r="C36" s="149"/>
      <c r="D36" s="319"/>
      <c r="E36" s="157"/>
      <c r="F36" s="325"/>
      <c r="G36" s="157"/>
      <c r="H36" s="195"/>
      <c r="I36" s="319"/>
      <c r="J36" s="157"/>
      <c r="K36" s="325"/>
      <c r="L36" s="10"/>
      <c r="O36" s="176"/>
      <c r="P36" s="157"/>
      <c r="Q36" s="176"/>
    </row>
    <row r="37" spans="1:21" ht="18" customHeight="1">
      <c r="A37" s="48" t="s">
        <v>1168</v>
      </c>
      <c r="B37" s="18"/>
      <c r="D37" s="320">
        <f>BS!G17</f>
        <v>21601165</v>
      </c>
      <c r="E37" s="157"/>
      <c r="F37" s="322">
        <f>ROUND(D37/D$25*100,1)</f>
        <v>20.5</v>
      </c>
      <c r="G37" s="157"/>
      <c r="H37" s="159"/>
      <c r="I37" s="320">
        <v>19412464</v>
      </c>
      <c r="J37" s="157"/>
      <c r="K37" s="322">
        <f>ROUND(I37/I$25*100,1)-0.1</f>
        <v>19.299999999999997</v>
      </c>
      <c r="L37" s="10"/>
      <c r="N37" s="40"/>
      <c r="O37" s="181">
        <v>11421445</v>
      </c>
      <c r="P37" s="157"/>
      <c r="Q37" s="158">
        <v>10.4</v>
      </c>
      <c r="S37" s="38">
        <f>D37-I37</f>
        <v>2188701</v>
      </c>
      <c r="U37" s="38">
        <f>I37-O37</f>
        <v>7991019</v>
      </c>
    </row>
    <row r="38" spans="1:21" ht="18" customHeight="1">
      <c r="A38" s="48" t="s">
        <v>1035</v>
      </c>
      <c r="B38" s="18"/>
      <c r="C38" s="5"/>
      <c r="D38" s="321">
        <f>SUM(D37:D37)</f>
        <v>21601165</v>
      </c>
      <c r="E38" s="157"/>
      <c r="F38" s="323">
        <f>SUM(F37:F37)</f>
        <v>20.5</v>
      </c>
      <c r="G38" s="157"/>
      <c r="H38" s="163"/>
      <c r="I38" s="321">
        <f>SUM(I37:I37)</f>
        <v>19412464</v>
      </c>
      <c r="J38" s="157"/>
      <c r="K38" s="323">
        <f>SUM(K37:K37)</f>
        <v>19.299999999999997</v>
      </c>
      <c r="L38" s="10"/>
      <c r="N38" s="5"/>
      <c r="O38" s="301">
        <v>11421445</v>
      </c>
      <c r="P38" s="157"/>
      <c r="Q38" s="162">
        <v>10.4</v>
      </c>
    </row>
    <row r="39" spans="1:21" ht="18" customHeight="1">
      <c r="A39" s="2" t="s">
        <v>23</v>
      </c>
      <c r="B39" s="1"/>
      <c r="C39" s="40"/>
      <c r="D39" s="317">
        <f>D35+D38</f>
        <v>44274434</v>
      </c>
      <c r="E39" s="157"/>
      <c r="F39" s="323">
        <f>F35+F38</f>
        <v>41.9</v>
      </c>
      <c r="G39" s="157"/>
      <c r="H39" s="193"/>
      <c r="I39" s="317">
        <f>I35+I38</f>
        <v>39186119</v>
      </c>
      <c r="J39" s="157"/>
      <c r="K39" s="323">
        <f>K35+K38</f>
        <v>39</v>
      </c>
      <c r="L39" s="3"/>
      <c r="N39" s="5"/>
      <c r="O39" s="161">
        <v>38301599</v>
      </c>
      <c r="P39" s="157"/>
      <c r="Q39" s="170">
        <v>34.700000000000003</v>
      </c>
    </row>
    <row r="40" spans="1:21" ht="9" customHeight="1">
      <c r="A40" s="174"/>
      <c r="D40" s="315"/>
      <c r="E40" s="157"/>
      <c r="F40" s="322"/>
      <c r="G40" s="159"/>
      <c r="H40" s="159"/>
      <c r="I40" s="315"/>
      <c r="J40" s="157"/>
      <c r="K40" s="322"/>
      <c r="L40" s="22"/>
      <c r="M40" s="1"/>
      <c r="O40" s="164"/>
      <c r="P40" s="157"/>
      <c r="Q40" s="158"/>
    </row>
    <row r="41" spans="1:21" ht="18" customHeight="1">
      <c r="A41" s="18" t="s">
        <v>1006</v>
      </c>
      <c r="B41" s="1"/>
      <c r="D41" s="315"/>
      <c r="E41" s="159"/>
      <c r="F41" s="322"/>
      <c r="G41" s="157"/>
      <c r="H41" s="159"/>
      <c r="I41" s="315"/>
      <c r="J41" s="159"/>
      <c r="K41" s="322"/>
      <c r="L41" s="22"/>
      <c r="O41" s="156"/>
      <c r="P41" s="159"/>
      <c r="Q41" s="168"/>
    </row>
    <row r="42" spans="1:21" ht="18" customHeight="1">
      <c r="A42" s="48" t="s">
        <v>1167</v>
      </c>
      <c r="B42" s="1"/>
      <c r="D42" s="315">
        <f>BS!H20</f>
        <v>90000000</v>
      </c>
      <c r="E42" s="159"/>
      <c r="F42" s="322">
        <f>ROUND(D42/D$25*100,1)</f>
        <v>85.3</v>
      </c>
      <c r="G42" s="157"/>
      <c r="H42" s="159"/>
      <c r="I42" s="315">
        <v>90000000</v>
      </c>
      <c r="J42" s="159"/>
      <c r="K42" s="322">
        <f>ROUND(I42/I$25*100,1)</f>
        <v>89.8</v>
      </c>
      <c r="L42" s="22"/>
      <c r="O42" s="156">
        <v>80000000</v>
      </c>
      <c r="P42" s="159"/>
      <c r="Q42" s="158">
        <v>72.599999999999994</v>
      </c>
      <c r="S42" s="3">
        <f>D42-I42</f>
        <v>0</v>
      </c>
      <c r="U42" s="3">
        <f>I42-O42</f>
        <v>10000000</v>
      </c>
    </row>
    <row r="43" spans="1:21" ht="18" customHeight="1">
      <c r="A43" s="48" t="s">
        <v>1166</v>
      </c>
      <c r="B43" s="1"/>
      <c r="D43" s="315">
        <f>BS!H22</f>
        <v>1400000</v>
      </c>
      <c r="E43" s="159"/>
      <c r="F43" s="322">
        <f>ROUND(D43/$D$25*100,1)</f>
        <v>1.3</v>
      </c>
      <c r="G43" s="157"/>
      <c r="H43" s="159"/>
      <c r="I43" s="315">
        <v>1400000</v>
      </c>
      <c r="J43" s="159"/>
      <c r="K43" s="322">
        <f>ROUND(I43/$I$25*100,1)</f>
        <v>1.4</v>
      </c>
      <c r="L43" s="22"/>
      <c r="O43" s="156">
        <v>1400000</v>
      </c>
      <c r="P43" s="159"/>
      <c r="Q43" s="158">
        <v>1.3</v>
      </c>
    </row>
    <row r="44" spans="1:21" ht="18" customHeight="1">
      <c r="A44" s="48" t="s">
        <v>1165</v>
      </c>
      <c r="B44" s="1"/>
      <c r="D44" s="315"/>
      <c r="E44" s="159"/>
      <c r="F44" s="322"/>
      <c r="G44" s="157"/>
      <c r="H44" s="159"/>
      <c r="I44" s="315"/>
      <c r="J44" s="159"/>
      <c r="K44" s="322"/>
      <c r="L44" s="22"/>
      <c r="O44" s="156"/>
      <c r="P44" s="159"/>
      <c r="Q44" s="168"/>
    </row>
    <row r="45" spans="1:21" s="3" customFormat="1" ht="18" customHeight="1">
      <c r="A45" s="16" t="s">
        <v>1164</v>
      </c>
      <c r="B45" s="1"/>
      <c r="C45" s="8"/>
      <c r="D45" s="315">
        <f>BS!G25+BS!G26</f>
        <v>-30126665</v>
      </c>
      <c r="E45" s="159"/>
      <c r="F45" s="322">
        <f>ROUND(D45/D$25*100,1)</f>
        <v>-28.5</v>
      </c>
      <c r="G45" s="169"/>
      <c r="H45" s="160"/>
      <c r="I45" s="315">
        <v>-30313711</v>
      </c>
      <c r="J45" s="159"/>
      <c r="K45" s="322">
        <f>ROUND(I45/I$25*100,1)</f>
        <v>-30.2</v>
      </c>
      <c r="L45" s="22"/>
      <c r="M45" s="160" t="s">
        <v>0</v>
      </c>
      <c r="N45" s="1"/>
      <c r="O45" s="156">
        <v>-9446728</v>
      </c>
      <c r="P45" s="159" t="s">
        <v>1967</v>
      </c>
      <c r="Q45" s="168">
        <v>-8.6</v>
      </c>
      <c r="R45" s="22" t="s">
        <v>1</v>
      </c>
    </row>
    <row r="46" spans="1:21" s="3" customFormat="1" ht="18" customHeight="1">
      <c r="A46" s="2" t="s">
        <v>235</v>
      </c>
      <c r="B46" s="1"/>
      <c r="C46" s="5"/>
      <c r="D46" s="317">
        <f>SUM(D42:D45)</f>
        <v>61273335</v>
      </c>
      <c r="E46" s="159"/>
      <c r="F46" s="323">
        <f>SUM(F42:F45)</f>
        <v>58.099999999999994</v>
      </c>
      <c r="G46" s="157"/>
      <c r="H46" s="163"/>
      <c r="I46" s="317">
        <f>SUM(I42:I45)</f>
        <v>61086289</v>
      </c>
      <c r="J46" s="159"/>
      <c r="K46" s="323">
        <f>SUM(K42:K45)</f>
        <v>61</v>
      </c>
      <c r="L46" s="22"/>
      <c r="M46" s="10"/>
      <c r="N46" s="5"/>
      <c r="O46" s="161">
        <v>71953272</v>
      </c>
      <c r="P46" s="159"/>
      <c r="Q46" s="170">
        <v>65.3</v>
      </c>
      <c r="R46" s="1"/>
    </row>
    <row r="47" spans="1:21" ht="18" customHeight="1" thickBot="1">
      <c r="A47" s="2" t="s">
        <v>1007</v>
      </c>
      <c r="B47" s="3"/>
      <c r="C47" s="17" t="s">
        <v>7</v>
      </c>
      <c r="D47" s="318">
        <f>D39+D46</f>
        <v>105547769</v>
      </c>
      <c r="E47" s="156"/>
      <c r="F47" s="324">
        <f>F39+F46</f>
        <v>100</v>
      </c>
      <c r="G47" s="172"/>
      <c r="H47" s="166" t="s">
        <v>7</v>
      </c>
      <c r="I47" s="318">
        <f>I39+I46</f>
        <v>100272408</v>
      </c>
      <c r="J47" s="156"/>
      <c r="K47" s="324">
        <f>K39+K46</f>
        <v>100</v>
      </c>
      <c r="L47" s="22"/>
      <c r="M47" s="11"/>
      <c r="N47" s="17" t="s">
        <v>7</v>
      </c>
      <c r="O47" s="166">
        <v>110254871</v>
      </c>
      <c r="P47" s="156"/>
      <c r="Q47" s="171">
        <v>100</v>
      </c>
    </row>
    <row r="48" spans="1:21" ht="9" customHeight="1" thickTop="1">
      <c r="A48" s="35"/>
      <c r="C48" s="149"/>
      <c r="D48" s="15"/>
      <c r="E48" s="13"/>
      <c r="F48" s="148"/>
      <c r="G48" s="13"/>
      <c r="H48" s="149"/>
      <c r="I48" s="15"/>
      <c r="J48" s="13"/>
      <c r="K48" s="148"/>
      <c r="L48" s="22"/>
      <c r="M48" s="13"/>
      <c r="N48" s="149"/>
      <c r="O48" s="15"/>
      <c r="P48" s="13"/>
      <c r="Q48" s="148"/>
    </row>
    <row r="49" spans="1:17" ht="8.25" customHeight="1">
      <c r="A49" s="3"/>
      <c r="B49" s="24"/>
      <c r="C49" s="3"/>
      <c r="D49" s="3"/>
      <c r="E49" s="3"/>
      <c r="G49" s="3"/>
      <c r="H49" s="3"/>
      <c r="I49" s="3"/>
      <c r="J49" s="11"/>
      <c r="L49" s="22"/>
      <c r="M49" s="3"/>
      <c r="N49" s="3"/>
      <c r="O49" s="3"/>
      <c r="P49" s="11"/>
    </row>
    <row r="50" spans="1:17" ht="17.25">
      <c r="A50" s="467" t="s">
        <v>236</v>
      </c>
      <c r="B50" s="467"/>
      <c r="C50" s="467"/>
      <c r="D50" s="467"/>
      <c r="E50" s="467"/>
      <c r="F50" s="467"/>
      <c r="G50" s="467"/>
      <c r="H50" s="467"/>
      <c r="I50" s="467"/>
      <c r="J50" s="467"/>
      <c r="K50" s="467"/>
      <c r="L50" s="467"/>
      <c r="M50" s="34"/>
      <c r="N50" s="34"/>
      <c r="O50" s="34"/>
      <c r="P50" s="34"/>
      <c r="Q50" s="34"/>
    </row>
    <row r="51" spans="1:17" ht="8.25" customHeight="1">
      <c r="A51" s="34"/>
      <c r="B51" s="23"/>
      <c r="C51" s="23"/>
      <c r="D51" s="23"/>
      <c r="E51" s="23"/>
      <c r="F51" s="23"/>
      <c r="G51" s="23"/>
      <c r="H51" s="23"/>
      <c r="I51" s="23"/>
      <c r="J51" s="23"/>
      <c r="K51" s="23"/>
      <c r="L51" s="23"/>
      <c r="M51" s="23"/>
      <c r="N51" s="23"/>
      <c r="O51" s="23"/>
      <c r="P51" s="23"/>
      <c r="Q51" s="23"/>
    </row>
    <row r="52" spans="1:17" ht="17.25">
      <c r="A52" s="468" t="s">
        <v>1032</v>
      </c>
      <c r="B52" s="469"/>
      <c r="C52" s="469"/>
      <c r="D52" s="469"/>
      <c r="E52" s="469"/>
      <c r="F52" s="469"/>
      <c r="G52" s="469"/>
      <c r="H52" s="469"/>
      <c r="I52" s="469"/>
      <c r="J52" s="469"/>
      <c r="K52" s="469"/>
      <c r="L52" s="469"/>
      <c r="M52" s="9"/>
      <c r="N52" s="9"/>
      <c r="O52" s="9"/>
      <c r="P52" s="9"/>
      <c r="Q52" s="9"/>
    </row>
    <row r="53" spans="1:17" ht="8.25" customHeight="1"/>
  </sheetData>
  <mergeCells count="14">
    <mergeCell ref="A50:L50"/>
    <mergeCell ref="A52:L52"/>
    <mergeCell ref="A1:L1"/>
    <mergeCell ref="C6:F6"/>
    <mergeCell ref="A2:L2"/>
    <mergeCell ref="A3:L3"/>
    <mergeCell ref="A4:L4"/>
    <mergeCell ref="H5:K5"/>
    <mergeCell ref="H6:K6"/>
    <mergeCell ref="N5:Q5"/>
    <mergeCell ref="N6:Q6"/>
    <mergeCell ref="N7:O7"/>
    <mergeCell ref="C7:D7"/>
    <mergeCell ref="H7:I7"/>
  </mergeCells>
  <phoneticPr fontId="2" type="noConversion"/>
  <printOptions horizontalCentered="1"/>
  <pageMargins left="0.70866141732283472" right="0.59055118110236227" top="0.70866141732283472" bottom="0.70866141732283472" header="0.19685039370078741" footer="0.19685039370078741"/>
  <pageSetup paperSize="9" scale="87" firstPageNumber="3" orientation="portrait" blackAndWhite="1" useFirstPageNumber="1" horizontalDpi="360" verticalDpi="360" r:id="rId1"/>
  <headerFooter alignWithMargins="0">
    <oddFooter>&amp;C&amp;"Times New Roman,粗體"- &amp;P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X33"/>
  <sheetViews>
    <sheetView view="pageBreakPreview" topLeftCell="A14" zoomScale="85" zoomScaleNormal="85" zoomScaleSheetLayoutView="85" workbookViewId="0">
      <selection activeCell="A28" sqref="A28"/>
    </sheetView>
  </sheetViews>
  <sheetFormatPr defaultColWidth="9" defaultRowHeight="20.100000000000001" customHeight="1"/>
  <cols>
    <col min="1" max="1" width="33.5" style="2" customWidth="1"/>
    <col min="2" max="2" width="2.875" style="8" customWidth="1"/>
    <col min="3" max="3" width="1.875" style="1" customWidth="1"/>
    <col min="4" max="4" width="13.875" style="3" customWidth="1"/>
    <col min="5" max="5" width="2.875" style="3" customWidth="1"/>
    <col min="6" max="6" width="8.75" style="3" bestFit="1" customWidth="1"/>
    <col min="7" max="7" width="2.875" style="3" customWidth="1"/>
    <col min="8" max="8" width="1.625" style="3" customWidth="1"/>
    <col min="9" max="9" width="13.25" style="3" customWidth="1"/>
    <col min="10" max="10" width="2.875" style="3" customWidth="1"/>
    <col min="11" max="11" width="8.375" style="3" bestFit="1" customWidth="1"/>
    <col min="12" max="12" width="2.5" style="1" customWidth="1"/>
    <col min="13" max="16384" width="9" style="1"/>
  </cols>
  <sheetData>
    <row r="1" spans="1:12" ht="24" customHeight="1">
      <c r="A1" s="474" t="str">
        <f>資產負債表!A1</f>
        <v>鍍威精密股份有限公司</v>
      </c>
      <c r="B1" s="474"/>
      <c r="C1" s="474"/>
      <c r="D1" s="474"/>
      <c r="E1" s="474"/>
      <c r="F1" s="474"/>
      <c r="G1" s="474"/>
      <c r="H1" s="474"/>
      <c r="I1" s="474"/>
      <c r="J1" s="474"/>
      <c r="K1" s="474"/>
    </row>
    <row r="2" spans="1:12" ht="24" customHeight="1">
      <c r="A2" s="474" t="s">
        <v>1009</v>
      </c>
      <c r="B2" s="474"/>
      <c r="C2" s="474"/>
      <c r="D2" s="474"/>
      <c r="E2" s="474"/>
      <c r="F2" s="474"/>
      <c r="G2" s="474"/>
      <c r="H2" s="474"/>
      <c r="I2" s="474"/>
      <c r="J2" s="474"/>
      <c r="K2" s="474"/>
    </row>
    <row r="3" spans="1:12" ht="24" customHeight="1">
      <c r="A3" s="474" t="s">
        <v>1968</v>
      </c>
      <c r="B3" s="474"/>
      <c r="C3" s="474"/>
      <c r="D3" s="474"/>
      <c r="E3" s="474"/>
      <c r="F3" s="474"/>
      <c r="G3" s="474"/>
      <c r="H3" s="474"/>
      <c r="I3" s="474"/>
      <c r="J3" s="474"/>
      <c r="K3" s="474"/>
    </row>
    <row r="4" spans="1:12" ht="20.100000000000001" customHeight="1">
      <c r="A4" s="474" t="s">
        <v>1969</v>
      </c>
      <c r="B4" s="474"/>
      <c r="C4" s="474"/>
      <c r="D4" s="474"/>
      <c r="E4" s="474"/>
      <c r="F4" s="474"/>
      <c r="G4" s="474"/>
      <c r="H4" s="474"/>
      <c r="I4" s="474"/>
      <c r="J4" s="474"/>
      <c r="K4" s="474"/>
    </row>
    <row r="5" spans="1:12" ht="12.75" customHeight="1">
      <c r="A5" s="54"/>
      <c r="B5" s="146"/>
      <c r="C5" s="54"/>
      <c r="D5" s="54"/>
      <c r="E5" s="54"/>
      <c r="F5" s="54"/>
      <c r="G5" s="54"/>
      <c r="H5" s="54"/>
      <c r="I5" s="54"/>
      <c r="J5" s="54"/>
      <c r="K5" s="54"/>
    </row>
    <row r="6" spans="1:12" ht="20.100000000000001" customHeight="1">
      <c r="A6" s="475" t="s">
        <v>10</v>
      </c>
      <c r="B6" s="475"/>
      <c r="C6" s="475"/>
      <c r="D6" s="475"/>
      <c r="E6" s="475"/>
      <c r="F6" s="475"/>
      <c r="G6" s="475"/>
      <c r="H6" s="475"/>
      <c r="I6" s="475"/>
      <c r="J6" s="475"/>
      <c r="K6" s="475"/>
    </row>
    <row r="7" spans="1:12" ht="20.100000000000001" customHeight="1">
      <c r="A7" s="146"/>
      <c r="B7" s="146"/>
      <c r="C7" s="477" t="s">
        <v>1970</v>
      </c>
      <c r="D7" s="477"/>
      <c r="E7" s="477"/>
      <c r="F7" s="477"/>
      <c r="G7" s="146"/>
      <c r="H7" s="479" t="s">
        <v>1036</v>
      </c>
      <c r="I7" s="477"/>
      <c r="J7" s="477"/>
      <c r="K7" s="477"/>
    </row>
    <row r="8" spans="1:12" s="19" customFormat="1" ht="15" customHeight="1">
      <c r="B8" s="33"/>
      <c r="C8" s="478"/>
      <c r="D8" s="478"/>
      <c r="E8" s="478"/>
      <c r="F8" s="478"/>
      <c r="G8" s="29"/>
      <c r="H8" s="478"/>
      <c r="I8" s="478"/>
      <c r="J8" s="478"/>
      <c r="K8" s="478"/>
      <c r="L8" s="28"/>
    </row>
    <row r="9" spans="1:12" ht="21.95" customHeight="1">
      <c r="A9" s="147" t="s">
        <v>1010</v>
      </c>
      <c r="B9" s="146"/>
      <c r="C9" s="476" t="s">
        <v>11</v>
      </c>
      <c r="D9" s="476"/>
      <c r="E9" s="7"/>
      <c r="F9" s="177" t="s">
        <v>12</v>
      </c>
      <c r="G9" s="7"/>
      <c r="H9" s="476" t="s">
        <v>84</v>
      </c>
      <c r="I9" s="476"/>
      <c r="J9" s="7"/>
      <c r="K9" s="177" t="s">
        <v>1025</v>
      </c>
    </row>
    <row r="10" spans="1:12" ht="39.950000000000003" customHeight="1">
      <c r="A10" s="2" t="s">
        <v>1131</v>
      </c>
      <c r="C10" s="1" t="s">
        <v>4</v>
      </c>
      <c r="D10" s="315">
        <f>IS!D6</f>
        <v>52599315</v>
      </c>
      <c r="E10" s="156"/>
      <c r="F10" s="328">
        <f>D10/D$10*100</f>
        <v>100</v>
      </c>
      <c r="G10" s="156"/>
      <c r="H10" s="159" t="s">
        <v>7</v>
      </c>
      <c r="I10" s="315">
        <v>28721719</v>
      </c>
      <c r="J10" s="156"/>
      <c r="K10" s="328">
        <f>I10/I$10*100</f>
        <v>100</v>
      </c>
    </row>
    <row r="11" spans="1:12" ht="39.950000000000003" customHeight="1">
      <c r="A11" s="2" t="s">
        <v>1163</v>
      </c>
      <c r="C11" s="40"/>
      <c r="D11" s="326">
        <f>-IS!D7</f>
        <v>-33039914</v>
      </c>
      <c r="E11" s="172"/>
      <c r="F11" s="329">
        <f>ROUND(D11/D$10*100,2)</f>
        <v>-62.81</v>
      </c>
      <c r="G11" s="172"/>
      <c r="H11" s="193"/>
      <c r="I11" s="326">
        <v>-34288954</v>
      </c>
      <c r="J11" s="172"/>
      <c r="K11" s="329">
        <f>ROUND(I11/I$10*100,2)</f>
        <v>-119.38</v>
      </c>
    </row>
    <row r="12" spans="1:12" ht="39.950000000000003" customHeight="1">
      <c r="A12" s="2" t="s">
        <v>2095</v>
      </c>
      <c r="D12" s="315">
        <f>D10+D11</f>
        <v>19559401</v>
      </c>
      <c r="E12" s="172"/>
      <c r="F12" s="328">
        <f>F10+F11</f>
        <v>37.19</v>
      </c>
      <c r="G12" s="156"/>
      <c r="H12" s="159"/>
      <c r="I12" s="315">
        <f>I10+I11</f>
        <v>-5567235</v>
      </c>
      <c r="J12" s="172"/>
      <c r="K12" s="328">
        <f>K10+K11</f>
        <v>-19.379999999999995</v>
      </c>
    </row>
    <row r="13" spans="1:12" ht="39.950000000000003" customHeight="1">
      <c r="A13" s="2" t="s">
        <v>1011</v>
      </c>
      <c r="D13" s="315">
        <f>-IS!D43</f>
        <v>-19136173</v>
      </c>
      <c r="E13" s="172"/>
      <c r="F13" s="329">
        <f>ROUND(D13/D$10*100,2)</f>
        <v>-36.380000000000003</v>
      </c>
      <c r="G13" s="172"/>
      <c r="H13" s="159"/>
      <c r="I13" s="315">
        <v>-16891577</v>
      </c>
      <c r="J13" s="172"/>
      <c r="K13" s="329">
        <f>ROUND(I13/I$10*100,2)</f>
        <v>-58.81</v>
      </c>
    </row>
    <row r="14" spans="1:12" ht="39.950000000000003" customHeight="1">
      <c r="A14" s="2" t="s">
        <v>1971</v>
      </c>
      <c r="C14" s="5"/>
      <c r="D14" s="317">
        <f>D12+D13</f>
        <v>423228</v>
      </c>
      <c r="E14" s="172"/>
      <c r="F14" s="330">
        <f>F12+F13</f>
        <v>0.80999999999999517</v>
      </c>
      <c r="G14" s="172"/>
      <c r="H14" s="163"/>
      <c r="I14" s="317">
        <f>I12+I13</f>
        <v>-22458812</v>
      </c>
      <c r="J14" s="172"/>
      <c r="K14" s="330">
        <f>K12+K13</f>
        <v>-78.19</v>
      </c>
    </row>
    <row r="15" spans="1:12" ht="39.950000000000003" customHeight="1">
      <c r="A15" s="2" t="s">
        <v>1012</v>
      </c>
      <c r="D15" s="315"/>
      <c r="E15" s="156"/>
      <c r="F15" s="328"/>
      <c r="G15" s="156"/>
      <c r="H15" s="159"/>
      <c r="I15" s="315"/>
      <c r="J15" s="156"/>
      <c r="K15" s="328"/>
    </row>
    <row r="16" spans="1:12" ht="39.950000000000003" customHeight="1">
      <c r="A16" s="48" t="s">
        <v>1013</v>
      </c>
      <c r="D16" s="315">
        <f>IS!C67</f>
        <v>160806</v>
      </c>
      <c r="E16" s="156"/>
      <c r="F16" s="328">
        <f t="shared" ref="F16:F23" si="0">ROUND(D16/D$10*100,2)</f>
        <v>0.31</v>
      </c>
      <c r="G16" s="156"/>
      <c r="H16" s="159"/>
      <c r="I16" s="315">
        <v>185761</v>
      </c>
      <c r="J16" s="156"/>
      <c r="K16" s="328">
        <f t="shared" ref="K16:K23" si="1">ROUND(I16/I$10*100,2)</f>
        <v>0.65</v>
      </c>
    </row>
    <row r="17" spans="1:24" ht="30.75" hidden="1" customHeight="1">
      <c r="A17" s="48" t="s">
        <v>1014</v>
      </c>
      <c r="D17" s="320"/>
      <c r="E17" s="156"/>
      <c r="F17" s="328"/>
      <c r="G17" s="156"/>
      <c r="H17" s="159"/>
      <c r="I17" s="320"/>
      <c r="J17" s="156"/>
      <c r="K17" s="328"/>
    </row>
    <row r="18" spans="1:24" ht="30.75" hidden="1" customHeight="1">
      <c r="A18" s="48" t="s">
        <v>1015</v>
      </c>
      <c r="D18" s="320"/>
      <c r="E18" s="156"/>
      <c r="F18" s="328"/>
      <c r="G18" s="156"/>
      <c r="H18" s="159"/>
      <c r="I18" s="320"/>
      <c r="J18" s="156"/>
      <c r="K18" s="328"/>
    </row>
    <row r="19" spans="1:24" ht="30.75" hidden="1" customHeight="1">
      <c r="A19" s="48" t="s">
        <v>1016</v>
      </c>
      <c r="D19" s="320"/>
      <c r="E19" s="156"/>
      <c r="F19" s="328"/>
      <c r="G19" s="156"/>
      <c r="H19" s="159"/>
      <c r="I19" s="320"/>
      <c r="J19" s="156"/>
      <c r="K19" s="328"/>
    </row>
    <row r="20" spans="1:24" ht="30.75" hidden="1" customHeight="1">
      <c r="A20" s="60" t="s">
        <v>1017</v>
      </c>
      <c r="D20" s="320"/>
      <c r="E20" s="172"/>
      <c r="F20" s="328"/>
      <c r="G20" s="172"/>
      <c r="H20" s="159"/>
      <c r="I20" s="320"/>
      <c r="J20" s="172"/>
      <c r="K20" s="328"/>
    </row>
    <row r="21" spans="1:24" ht="30.75" customHeight="1">
      <c r="A21" s="48" t="s">
        <v>1016</v>
      </c>
      <c r="D21" s="315">
        <f>-IS!C71</f>
        <v>-704142</v>
      </c>
      <c r="E21" s="172"/>
      <c r="F21" s="328">
        <f t="shared" si="0"/>
        <v>-1.34</v>
      </c>
      <c r="G21" s="172"/>
      <c r="H21" s="159"/>
      <c r="I21" s="315">
        <v>-372259</v>
      </c>
      <c r="J21" s="172"/>
      <c r="K21" s="328">
        <f t="shared" si="1"/>
        <v>-1.3</v>
      </c>
    </row>
    <row r="22" spans="1:24" ht="30.75" hidden="1" customHeight="1">
      <c r="A22" s="48" t="s">
        <v>1018</v>
      </c>
      <c r="D22" s="320">
        <v>0</v>
      </c>
      <c r="E22" s="156"/>
      <c r="F22" s="328">
        <f t="shared" si="0"/>
        <v>0</v>
      </c>
      <c r="G22" s="156"/>
      <c r="H22" s="159"/>
      <c r="I22" s="320">
        <v>0</v>
      </c>
      <c r="J22" s="156"/>
      <c r="K22" s="328">
        <f t="shared" si="1"/>
        <v>0</v>
      </c>
    </row>
    <row r="23" spans="1:24" ht="30.75" hidden="1" customHeight="1">
      <c r="A23" s="60" t="s">
        <v>1019</v>
      </c>
      <c r="D23" s="315">
        <v>0</v>
      </c>
      <c r="E23" s="172"/>
      <c r="F23" s="328">
        <f t="shared" si="0"/>
        <v>0</v>
      </c>
      <c r="G23" s="172"/>
      <c r="H23" s="159"/>
      <c r="I23" s="315">
        <v>0</v>
      </c>
      <c r="J23" s="172"/>
      <c r="K23" s="328">
        <f t="shared" si="1"/>
        <v>0</v>
      </c>
    </row>
    <row r="24" spans="1:24" ht="30.75" customHeight="1">
      <c r="A24" s="60" t="s">
        <v>1020</v>
      </c>
      <c r="D24" s="320">
        <f>IS!C68+IS!C69</f>
        <v>353916</v>
      </c>
      <c r="E24" s="172"/>
      <c r="F24" s="329">
        <f>ROUND(D24/D$10*100,2)</f>
        <v>0.67</v>
      </c>
      <c r="G24" s="194"/>
      <c r="H24" s="159"/>
      <c r="I24" s="320">
        <v>-221673</v>
      </c>
      <c r="J24" s="172"/>
      <c r="K24" s="329">
        <f>ROUND(I24/I$10*100,2)</f>
        <v>-0.77</v>
      </c>
    </row>
    <row r="25" spans="1:24" ht="39.950000000000003" customHeight="1">
      <c r="A25" s="16" t="s">
        <v>1021</v>
      </c>
      <c r="C25" s="5"/>
      <c r="D25" s="317">
        <f>SUM(D16:D24)</f>
        <v>-189420</v>
      </c>
      <c r="E25" s="172"/>
      <c r="F25" s="330">
        <f>SUM(F16:F24)</f>
        <v>-0.36</v>
      </c>
      <c r="G25" s="172"/>
      <c r="H25" s="163"/>
      <c r="I25" s="317">
        <f>SUM(I16:I24)</f>
        <v>-408171</v>
      </c>
      <c r="J25" s="172"/>
      <c r="K25" s="330">
        <f>SUM(K16:K24)</f>
        <v>-1.42</v>
      </c>
    </row>
    <row r="26" spans="1:24" ht="39.950000000000003" customHeight="1">
      <c r="A26" s="2" t="s">
        <v>2096</v>
      </c>
      <c r="D26" s="315">
        <f>D14+D25</f>
        <v>233808</v>
      </c>
      <c r="E26" s="172"/>
      <c r="F26" s="328">
        <f>F14+F25</f>
        <v>0.44999999999999518</v>
      </c>
      <c r="G26" s="172"/>
      <c r="H26" s="159"/>
      <c r="I26" s="315">
        <f>I14+I25</f>
        <v>-22866983</v>
      </c>
      <c r="J26" s="172"/>
      <c r="K26" s="328">
        <f>K14+K25</f>
        <v>-79.61</v>
      </c>
    </row>
    <row r="27" spans="1:24" ht="39.950000000000003" customHeight="1">
      <c r="A27" s="2" t="s">
        <v>2097</v>
      </c>
      <c r="D27" s="315">
        <f>-IS!C73</f>
        <v>-46762</v>
      </c>
      <c r="E27" s="172"/>
      <c r="F27" s="328">
        <f>ROUND(D27/D$10*100,2)</f>
        <v>-0.09</v>
      </c>
      <c r="G27" s="172"/>
      <c r="H27" s="159"/>
      <c r="I27" s="315">
        <v>2000000</v>
      </c>
      <c r="J27" s="172"/>
      <c r="K27" s="328">
        <f>ROUND(I27/I$10*100,2)</f>
        <v>6.96</v>
      </c>
    </row>
    <row r="28" spans="1:24" ht="39.950000000000003" customHeight="1">
      <c r="A28" s="2" t="s">
        <v>1133</v>
      </c>
      <c r="C28" s="5"/>
      <c r="D28" s="333">
        <f>D26+D27</f>
        <v>187046</v>
      </c>
      <c r="E28" s="172"/>
      <c r="F28" s="334">
        <f>F26+F27</f>
        <v>0.35999999999999521</v>
      </c>
      <c r="G28" s="172"/>
      <c r="H28" s="5"/>
      <c r="I28" s="333">
        <f>I26+I27</f>
        <v>-20866983</v>
      </c>
      <c r="J28" s="172"/>
      <c r="K28" s="334">
        <f>K26+K27</f>
        <v>-72.650000000000006</v>
      </c>
    </row>
    <row r="29" spans="1:24" ht="39.950000000000003" customHeight="1">
      <c r="A29" s="332" t="s">
        <v>1972</v>
      </c>
      <c r="C29" s="5"/>
      <c r="D29" s="317">
        <v>0</v>
      </c>
      <c r="E29" s="172"/>
      <c r="F29" s="330">
        <v>0</v>
      </c>
      <c r="G29" s="172"/>
      <c r="H29" s="163"/>
      <c r="I29" s="317">
        <v>0</v>
      </c>
      <c r="J29" s="172"/>
      <c r="K29" s="330">
        <v>0</v>
      </c>
    </row>
    <row r="30" spans="1:24" ht="39.950000000000003" customHeight="1" thickBot="1">
      <c r="A30" s="332" t="s">
        <v>1973</v>
      </c>
      <c r="C30" s="450" t="s">
        <v>14</v>
      </c>
      <c r="D30" s="327">
        <f>D28</f>
        <v>187046</v>
      </c>
      <c r="E30" s="172"/>
      <c r="F30" s="331">
        <f>F28</f>
        <v>0.35999999999999521</v>
      </c>
      <c r="G30" s="172"/>
      <c r="H30" s="451" t="s">
        <v>7</v>
      </c>
      <c r="I30" s="327">
        <f>I28</f>
        <v>-20866983</v>
      </c>
      <c r="J30" s="172"/>
      <c r="K30" s="331">
        <f>K28</f>
        <v>-72.650000000000006</v>
      </c>
    </row>
    <row r="31" spans="1:24" ht="39.950000000000003" customHeight="1" thickTop="1">
      <c r="A31" s="462" t="s">
        <v>1023</v>
      </c>
      <c r="B31" s="462"/>
      <c r="C31" s="462"/>
      <c r="D31" s="462"/>
      <c r="E31" s="462"/>
      <c r="F31" s="462"/>
      <c r="G31" s="462"/>
      <c r="H31" s="462"/>
      <c r="I31" s="462"/>
      <c r="J31" s="462"/>
      <c r="K31" s="462"/>
      <c r="L31" s="462"/>
      <c r="M31" s="27"/>
      <c r="N31" s="27"/>
      <c r="O31" s="27"/>
      <c r="P31" s="27"/>
      <c r="Q31" s="27"/>
      <c r="R31" s="27"/>
      <c r="S31" s="27"/>
      <c r="T31" s="27"/>
      <c r="U31" s="27"/>
      <c r="V31" s="27"/>
      <c r="W31" s="27"/>
    </row>
    <row r="32" spans="1:24" ht="26.25" customHeight="1">
      <c r="A32" s="23"/>
      <c r="B32" s="145"/>
      <c r="C32" s="23"/>
      <c r="D32" s="23"/>
      <c r="E32" s="23"/>
      <c r="F32" s="23"/>
      <c r="G32" s="23"/>
      <c r="H32" s="23"/>
      <c r="I32" s="23"/>
      <c r="J32" s="23"/>
      <c r="K32" s="23"/>
      <c r="L32" s="23"/>
      <c r="M32" s="27"/>
      <c r="N32" s="27"/>
      <c r="O32" s="27"/>
      <c r="P32" s="27"/>
      <c r="Q32" s="27"/>
      <c r="R32" s="27"/>
      <c r="S32" s="27"/>
      <c r="T32" s="27"/>
      <c r="U32" s="27"/>
      <c r="V32" s="27"/>
      <c r="W32" s="27"/>
      <c r="X32" s="23"/>
    </row>
    <row r="33" spans="1:12" ht="39.950000000000003" customHeight="1">
      <c r="A33" s="2" t="s">
        <v>1022</v>
      </c>
      <c r="B33" s="146"/>
      <c r="C33" s="2"/>
      <c r="D33" s="7" t="s">
        <v>15</v>
      </c>
      <c r="E33" s="7"/>
      <c r="F33" s="7"/>
      <c r="G33" s="7"/>
      <c r="H33" s="7"/>
      <c r="I33" s="7" t="s">
        <v>16</v>
      </c>
      <c r="J33" s="7"/>
      <c r="K33" s="7"/>
      <c r="L33" s="2"/>
    </row>
  </sheetData>
  <mergeCells count="10">
    <mergeCell ref="A1:K1"/>
    <mergeCell ref="A2:K2"/>
    <mergeCell ref="A4:K4"/>
    <mergeCell ref="A3:K3"/>
    <mergeCell ref="A31:L31"/>
    <mergeCell ref="A6:K6"/>
    <mergeCell ref="C9:D9"/>
    <mergeCell ref="H9:I9"/>
    <mergeCell ref="C7:F8"/>
    <mergeCell ref="H7:K8"/>
  </mergeCells>
  <phoneticPr fontId="2" type="noConversion"/>
  <printOptions horizontalCentered="1"/>
  <pageMargins left="0.70866141732283461" right="0.59055118110236215" top="0.70866141732283461" bottom="0.70866141732283461" header="0.19685039370078741" footer="0.19685039370078741"/>
  <pageSetup paperSize="9" scale="90" firstPageNumber="4" orientation="portrait" blackAndWhite="1" useFirstPageNumber="1" horizontalDpi="360" verticalDpi="360" r:id="rId1"/>
  <headerFooter alignWithMargins="0">
    <oddFooter>&amp;C&amp;"Times New Roman,粗體"- &amp;P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139E7-0A55-4D3B-A641-1CB7FBC75735}">
  <sheetPr>
    <pageSetUpPr fitToPage="1"/>
  </sheetPr>
  <dimension ref="A1:S29"/>
  <sheetViews>
    <sheetView view="pageBreakPreview" topLeftCell="A7" zoomScaleNormal="100" zoomScaleSheetLayoutView="100" workbookViewId="0">
      <selection activeCell="A20" sqref="A20"/>
    </sheetView>
  </sheetViews>
  <sheetFormatPr defaultColWidth="9" defaultRowHeight="20.100000000000001" customHeight="1"/>
  <cols>
    <col min="1" max="1" width="31.125" style="2" customWidth="1"/>
    <col min="2" max="2" width="1.625" style="1" customWidth="1"/>
    <col min="3" max="3" width="2.125" style="196" customWidth="1"/>
    <col min="4" max="4" width="13" style="38" bestFit="1" customWidth="1"/>
    <col min="5" max="5" width="1.625" style="1" customWidth="1"/>
    <col min="6" max="6" width="2.125" style="1" customWidth="1"/>
    <col min="7" max="7" width="10.875" style="38" customWidth="1"/>
    <col min="8" max="8" width="1.625" style="38" customWidth="1"/>
    <col min="9" max="9" width="2.125" style="196" customWidth="1"/>
    <col min="10" max="10" width="10.875" style="1" customWidth="1"/>
    <col min="11" max="11" width="1.625" style="1" customWidth="1"/>
    <col min="12" max="12" width="2.125" style="196" customWidth="1"/>
    <col min="13" max="13" width="12.625" style="38" bestFit="1" customWidth="1"/>
    <col min="14" max="14" width="1.625" style="9" customWidth="1"/>
    <col min="15" max="15" width="2.125" style="196" customWidth="1"/>
    <col min="16" max="16" width="11.875" style="38" bestFit="1" customWidth="1"/>
    <col min="17" max="17" width="1.625" style="1" customWidth="1"/>
    <col min="18" max="18" width="10.5" style="1" bestFit="1" customWidth="1"/>
    <col min="19" max="19" width="15.875" style="1" bestFit="1" customWidth="1"/>
    <col min="20" max="16384" width="9" style="1"/>
  </cols>
  <sheetData>
    <row r="1" spans="1:19" ht="23.1" customHeight="1">
      <c r="A1" s="474" t="str">
        <f>損益表!A1</f>
        <v>鍍威精密股份有限公司</v>
      </c>
      <c r="B1" s="474"/>
      <c r="C1" s="474"/>
      <c r="D1" s="474"/>
      <c r="E1" s="474"/>
      <c r="F1" s="474"/>
      <c r="G1" s="474"/>
      <c r="H1" s="474"/>
      <c r="I1" s="474"/>
      <c r="J1" s="474"/>
      <c r="K1" s="474"/>
      <c r="L1" s="474"/>
      <c r="M1" s="474"/>
      <c r="N1" s="474"/>
      <c r="O1" s="474"/>
      <c r="P1" s="474"/>
      <c r="Q1" s="474"/>
    </row>
    <row r="2" spans="1:19" ht="23.1" customHeight="1">
      <c r="A2" s="474" t="s">
        <v>77</v>
      </c>
      <c r="B2" s="474"/>
      <c r="C2" s="474"/>
      <c r="D2" s="474"/>
      <c r="E2" s="474"/>
      <c r="F2" s="474"/>
      <c r="G2" s="474"/>
      <c r="H2" s="474"/>
      <c r="I2" s="474"/>
      <c r="J2" s="474"/>
      <c r="K2" s="474"/>
      <c r="L2" s="474"/>
      <c r="M2" s="474"/>
      <c r="N2" s="474"/>
      <c r="O2" s="474"/>
      <c r="P2" s="474"/>
      <c r="Q2" s="474"/>
    </row>
    <row r="3" spans="1:19" ht="23.1" customHeight="1">
      <c r="A3" s="474" t="str">
        <f>損益表!A3</f>
        <v>民國一一三年一月一日至十二月三十一日</v>
      </c>
      <c r="B3" s="474"/>
      <c r="C3" s="474"/>
      <c r="D3" s="474"/>
      <c r="E3" s="474"/>
      <c r="F3" s="474"/>
      <c r="G3" s="474"/>
      <c r="H3" s="474"/>
      <c r="I3" s="474"/>
      <c r="J3" s="474"/>
      <c r="K3" s="474"/>
      <c r="L3" s="474"/>
      <c r="M3" s="474"/>
      <c r="N3" s="474"/>
      <c r="O3" s="474"/>
      <c r="P3" s="474"/>
      <c r="Q3" s="474"/>
    </row>
    <row r="4" spans="1:19" ht="19.5">
      <c r="A4" s="474" t="str">
        <f>損益表!A4</f>
        <v>及一一二年一月一日至十二月三十一日</v>
      </c>
      <c r="B4" s="474"/>
      <c r="C4" s="474"/>
      <c r="D4" s="474"/>
      <c r="E4" s="474"/>
      <c r="F4" s="474"/>
      <c r="G4" s="474"/>
      <c r="H4" s="474"/>
      <c r="I4" s="474"/>
      <c r="J4" s="474"/>
      <c r="K4" s="474"/>
      <c r="L4" s="474"/>
      <c r="M4" s="474"/>
      <c r="N4" s="474"/>
      <c r="O4" s="474"/>
      <c r="P4" s="474"/>
      <c r="Q4" s="474"/>
    </row>
    <row r="5" spans="1:19" ht="15" customHeight="1">
      <c r="A5" s="475" t="s">
        <v>3</v>
      </c>
      <c r="B5" s="475"/>
      <c r="C5" s="475"/>
      <c r="D5" s="475"/>
      <c r="E5" s="475"/>
      <c r="F5" s="475"/>
      <c r="G5" s="475"/>
      <c r="H5" s="475"/>
      <c r="I5" s="475"/>
      <c r="J5" s="475"/>
      <c r="K5" s="475"/>
      <c r="L5" s="475"/>
      <c r="M5" s="475"/>
      <c r="N5" s="475"/>
      <c r="O5" s="475"/>
      <c r="P5" s="475"/>
      <c r="Q5" s="475"/>
    </row>
    <row r="6" spans="1:19" s="10" customFormat="1" ht="20.100000000000001" customHeight="1">
      <c r="A6" s="12"/>
      <c r="C6" s="196"/>
      <c r="D6" s="197"/>
      <c r="G6" s="197"/>
      <c r="H6" s="197"/>
      <c r="I6" s="480" t="s">
        <v>24</v>
      </c>
      <c r="J6" s="480"/>
      <c r="K6" s="480"/>
      <c r="L6" s="480"/>
      <c r="M6" s="480"/>
      <c r="N6" s="9"/>
      <c r="O6" s="196"/>
      <c r="P6" s="197"/>
    </row>
    <row r="7" spans="1:19" s="10" customFormat="1" ht="39" customHeight="1">
      <c r="A7" s="12"/>
      <c r="C7" s="480" t="s">
        <v>25</v>
      </c>
      <c r="D7" s="483"/>
      <c r="E7" s="198"/>
      <c r="F7" s="484" t="s">
        <v>47</v>
      </c>
      <c r="G7" s="484"/>
      <c r="H7" s="198"/>
      <c r="I7" s="485" t="s">
        <v>79</v>
      </c>
      <c r="J7" s="483"/>
      <c r="K7" s="300"/>
      <c r="L7" s="486" t="s">
        <v>1039</v>
      </c>
      <c r="M7" s="483"/>
      <c r="N7" s="9"/>
      <c r="O7" s="480" t="s">
        <v>235</v>
      </c>
      <c r="P7" s="483"/>
    </row>
    <row r="8" spans="1:19" ht="36" customHeight="1">
      <c r="A8" s="2" t="s">
        <v>1037</v>
      </c>
      <c r="C8" s="199" t="s">
        <v>7</v>
      </c>
      <c r="D8" s="315">
        <v>80000000</v>
      </c>
      <c r="E8" s="315"/>
      <c r="F8" s="315" t="s">
        <v>7</v>
      </c>
      <c r="G8" s="315">
        <v>1400000</v>
      </c>
      <c r="H8" s="315"/>
      <c r="I8" s="335" t="s">
        <v>7</v>
      </c>
      <c r="J8" s="315">
        <v>0</v>
      </c>
      <c r="K8" s="335"/>
      <c r="L8" s="335" t="s">
        <v>7</v>
      </c>
      <c r="M8" s="315">
        <v>-9446728</v>
      </c>
      <c r="N8" s="336"/>
      <c r="O8" s="335" t="s">
        <v>7</v>
      </c>
      <c r="P8" s="315">
        <v>71953272</v>
      </c>
    </row>
    <row r="9" spans="1:19" ht="36" customHeight="1">
      <c r="A9" s="2" t="s">
        <v>1174</v>
      </c>
      <c r="C9" s="199"/>
      <c r="D9" s="315">
        <v>10000000</v>
      </c>
      <c r="E9" s="315"/>
      <c r="F9" s="315"/>
      <c r="G9" s="315">
        <v>0</v>
      </c>
      <c r="H9" s="315"/>
      <c r="I9" s="335"/>
      <c r="J9" s="315">
        <v>0</v>
      </c>
      <c r="K9" s="335"/>
      <c r="L9" s="335"/>
      <c r="M9" s="315">
        <v>0</v>
      </c>
      <c r="N9" s="336"/>
      <c r="O9" s="335"/>
      <c r="P9" s="315">
        <v>10000000</v>
      </c>
    </row>
    <row r="10" spans="1:19" ht="36" customHeight="1">
      <c r="A10" s="18" t="s">
        <v>1027</v>
      </c>
      <c r="D10" s="320"/>
      <c r="E10" s="315"/>
      <c r="F10" s="315"/>
      <c r="G10" s="320"/>
      <c r="H10" s="320"/>
      <c r="I10" s="335"/>
      <c r="J10" s="315"/>
      <c r="K10" s="335"/>
      <c r="L10" s="336"/>
      <c r="M10" s="315"/>
      <c r="N10" s="336"/>
      <c r="O10" s="335"/>
      <c r="P10" s="315"/>
    </row>
    <row r="11" spans="1:19" ht="36" customHeight="1">
      <c r="A11" s="48" t="s">
        <v>26</v>
      </c>
      <c r="D11" s="320">
        <v>0</v>
      </c>
      <c r="E11" s="315"/>
      <c r="F11" s="315"/>
      <c r="G11" s="320">
        <v>0</v>
      </c>
      <c r="H11" s="320"/>
      <c r="I11" s="335"/>
      <c r="J11" s="320">
        <v>0</v>
      </c>
      <c r="K11" s="335"/>
      <c r="L11" s="335"/>
      <c r="M11" s="320">
        <v>0</v>
      </c>
      <c r="N11" s="336"/>
      <c r="O11" s="335"/>
      <c r="P11" s="315">
        <v>0</v>
      </c>
      <c r="Q11" s="180"/>
    </row>
    <row r="12" spans="1:19" ht="30" hidden="1" customHeight="1">
      <c r="A12" s="174" t="s">
        <v>1028</v>
      </c>
      <c r="D12" s="320">
        <v>0</v>
      </c>
      <c r="E12" s="315"/>
      <c r="F12" s="315"/>
      <c r="G12" s="320">
        <v>0</v>
      </c>
      <c r="H12" s="320"/>
      <c r="I12" s="335"/>
      <c r="J12" s="320">
        <v>0</v>
      </c>
      <c r="K12" s="335"/>
      <c r="L12" s="335"/>
      <c r="M12" s="320"/>
      <c r="N12" s="336"/>
      <c r="O12" s="335"/>
      <c r="P12" s="315">
        <v>0</v>
      </c>
    </row>
    <row r="13" spans="1:19" ht="36" customHeight="1">
      <c r="A13" s="2" t="s">
        <v>1133</v>
      </c>
      <c r="C13" s="310"/>
      <c r="D13" s="326">
        <v>0</v>
      </c>
      <c r="E13" s="315"/>
      <c r="F13" s="326"/>
      <c r="G13" s="326">
        <v>0</v>
      </c>
      <c r="H13" s="315"/>
      <c r="I13" s="337"/>
      <c r="J13" s="326">
        <v>0</v>
      </c>
      <c r="K13" s="335"/>
      <c r="L13" s="337"/>
      <c r="M13" s="326">
        <f>損益表!I28</f>
        <v>-20866983</v>
      </c>
      <c r="N13" s="336"/>
      <c r="O13" s="338"/>
      <c r="P13" s="326">
        <f>M13</f>
        <v>-20866983</v>
      </c>
      <c r="Q13" s="169"/>
    </row>
    <row r="14" spans="1:19" ht="36" customHeight="1" thickBot="1">
      <c r="A14" s="481" t="s">
        <v>1038</v>
      </c>
      <c r="B14" s="481"/>
      <c r="C14" s="200" t="s">
        <v>7</v>
      </c>
      <c r="D14" s="327">
        <v>90000000</v>
      </c>
      <c r="E14" s="315"/>
      <c r="F14" s="318" t="s">
        <v>7</v>
      </c>
      <c r="G14" s="327">
        <v>1400000</v>
      </c>
      <c r="H14" s="315"/>
      <c r="I14" s="339" t="s">
        <v>7</v>
      </c>
      <c r="J14" s="327">
        <v>0</v>
      </c>
      <c r="K14" s="335"/>
      <c r="L14" s="339" t="s">
        <v>7</v>
      </c>
      <c r="M14" s="327">
        <f>SUM(M8:M13)</f>
        <v>-30313711</v>
      </c>
      <c r="N14" s="336"/>
      <c r="O14" s="339" t="s">
        <v>7</v>
      </c>
      <c r="P14" s="327">
        <f>SUM(P8:P13)</f>
        <v>61086289</v>
      </c>
    </row>
    <row r="15" spans="1:19" ht="36" customHeight="1" thickTop="1">
      <c r="A15" s="2" t="s">
        <v>1974</v>
      </c>
      <c r="C15" s="199" t="s">
        <v>2</v>
      </c>
      <c r="D15" s="315">
        <f>D14</f>
        <v>90000000</v>
      </c>
      <c r="E15" s="315"/>
      <c r="F15" s="315" t="s">
        <v>2</v>
      </c>
      <c r="G15" s="315">
        <f>G14</f>
        <v>1400000</v>
      </c>
      <c r="H15" s="315"/>
      <c r="I15" s="335" t="s">
        <v>2</v>
      </c>
      <c r="J15" s="315">
        <v>0</v>
      </c>
      <c r="K15" s="335"/>
      <c r="L15" s="335" t="s">
        <v>2</v>
      </c>
      <c r="M15" s="315">
        <f>M14</f>
        <v>-30313711</v>
      </c>
      <c r="N15" s="336"/>
      <c r="O15" s="335" t="s">
        <v>2</v>
      </c>
      <c r="P15" s="315">
        <f>SUM(D15:N15)</f>
        <v>61086289</v>
      </c>
      <c r="S15" s="38"/>
    </row>
    <row r="16" spans="1:19" ht="30" hidden="1" customHeight="1">
      <c r="A16" s="2" t="s">
        <v>1174</v>
      </c>
      <c r="C16" s="199"/>
      <c r="D16" s="315">
        <v>0</v>
      </c>
      <c r="E16" s="315"/>
      <c r="F16" s="315"/>
      <c r="G16" s="315">
        <v>0</v>
      </c>
      <c r="H16" s="315"/>
      <c r="I16" s="315"/>
      <c r="J16" s="315">
        <v>0</v>
      </c>
      <c r="K16" s="335"/>
      <c r="L16" s="335"/>
      <c r="M16" s="315">
        <v>0</v>
      </c>
      <c r="N16" s="315"/>
      <c r="O16" s="315"/>
      <c r="P16" s="315">
        <f>SUM(D16:N16)</f>
        <v>0</v>
      </c>
      <c r="S16" s="38"/>
    </row>
    <row r="17" spans="1:17" ht="36" customHeight="1">
      <c r="A17" s="18" t="s">
        <v>1027</v>
      </c>
      <c r="D17" s="315"/>
      <c r="E17" s="315"/>
      <c r="F17" s="315"/>
      <c r="G17" s="315"/>
      <c r="H17" s="315"/>
      <c r="I17" s="335"/>
      <c r="J17" s="315"/>
      <c r="K17" s="335"/>
      <c r="L17" s="335"/>
      <c r="M17" s="315"/>
      <c r="N17" s="336"/>
      <c r="O17" s="335"/>
      <c r="P17" s="315"/>
    </row>
    <row r="18" spans="1:17" ht="36" customHeight="1">
      <c r="A18" s="48" t="s">
        <v>26</v>
      </c>
      <c r="D18" s="320">
        <v>0</v>
      </c>
      <c r="E18" s="315"/>
      <c r="F18" s="315"/>
      <c r="G18" s="320">
        <v>0</v>
      </c>
      <c r="H18" s="320"/>
      <c r="I18" s="335"/>
      <c r="J18" s="315">
        <v>0</v>
      </c>
      <c r="K18" s="335"/>
      <c r="L18" s="336"/>
      <c r="M18" s="315">
        <v>0</v>
      </c>
      <c r="N18" s="336"/>
      <c r="O18" s="335"/>
      <c r="P18" s="315">
        <f>SUM(D18:N18)</f>
        <v>0</v>
      </c>
    </row>
    <row r="19" spans="1:17" ht="30" hidden="1" customHeight="1">
      <c r="A19" s="174" t="s">
        <v>1028</v>
      </c>
      <c r="D19" s="320">
        <v>0</v>
      </c>
      <c r="E19" s="315"/>
      <c r="F19" s="315"/>
      <c r="G19" s="320">
        <v>0</v>
      </c>
      <c r="H19" s="320"/>
      <c r="I19" s="335"/>
      <c r="J19" s="320">
        <v>0</v>
      </c>
      <c r="K19" s="335"/>
      <c r="L19" s="335"/>
      <c r="M19" s="315"/>
      <c r="N19" s="336"/>
      <c r="O19" s="335"/>
      <c r="P19" s="315">
        <f>SUM(D19:N19)</f>
        <v>0</v>
      </c>
      <c r="Q19" s="180"/>
    </row>
    <row r="20" spans="1:17" ht="36" customHeight="1">
      <c r="A20" s="2" t="s">
        <v>2098</v>
      </c>
      <c r="D20" s="320">
        <v>0</v>
      </c>
      <c r="E20" s="315"/>
      <c r="F20" s="326"/>
      <c r="G20" s="320">
        <v>0</v>
      </c>
      <c r="H20" s="320"/>
      <c r="I20" s="337"/>
      <c r="J20" s="326">
        <v>0</v>
      </c>
      <c r="K20" s="335"/>
      <c r="L20" s="337"/>
      <c r="M20" s="315">
        <f>損益表!D28</f>
        <v>187046</v>
      </c>
      <c r="N20" s="336"/>
      <c r="O20" s="338"/>
      <c r="P20" s="315">
        <f>SUM(D20:N20)</f>
        <v>187046</v>
      </c>
      <c r="Q20" s="169"/>
    </row>
    <row r="21" spans="1:17" ht="36" customHeight="1" thickBot="1">
      <c r="A21" s="481" t="s">
        <v>1975</v>
      </c>
      <c r="B21" s="481"/>
      <c r="C21" s="201" t="s">
        <v>2</v>
      </c>
      <c r="D21" s="327">
        <f>SUM(D15:D20)</f>
        <v>90000000</v>
      </c>
      <c r="E21" s="315"/>
      <c r="F21" s="318" t="s">
        <v>2</v>
      </c>
      <c r="G21" s="327">
        <f>SUM(G15:G20)</f>
        <v>1400000</v>
      </c>
      <c r="H21" s="315"/>
      <c r="I21" s="339" t="s">
        <v>2</v>
      </c>
      <c r="J21" s="327">
        <f>SUM(J15:J20)</f>
        <v>0</v>
      </c>
      <c r="K21" s="335"/>
      <c r="L21" s="339" t="s">
        <v>2</v>
      </c>
      <c r="M21" s="327">
        <f>M15-M19+M20</f>
        <v>-30126665</v>
      </c>
      <c r="N21" s="336"/>
      <c r="O21" s="339" t="s">
        <v>2</v>
      </c>
      <c r="P21" s="327">
        <f>P15-P19+P20+P16</f>
        <v>61273335</v>
      </c>
      <c r="Q21" s="183"/>
    </row>
    <row r="22" spans="1:17" ht="16.5" customHeight="1" thickTop="1">
      <c r="J22" s="38"/>
    </row>
    <row r="23" spans="1:17" ht="220.5" customHeight="1">
      <c r="J23" s="38"/>
    </row>
    <row r="24" spans="1:17" ht="16.7" customHeight="1">
      <c r="A24" s="482" t="s">
        <v>1040</v>
      </c>
      <c r="B24" s="482"/>
      <c r="C24" s="482"/>
      <c r="D24" s="482"/>
      <c r="E24" s="482"/>
      <c r="F24" s="482"/>
      <c r="G24" s="482"/>
      <c r="H24" s="482"/>
      <c r="I24" s="482"/>
      <c r="J24" s="482"/>
      <c r="K24" s="482"/>
      <c r="L24" s="482"/>
      <c r="M24" s="482"/>
      <c r="N24" s="482"/>
      <c r="O24" s="482"/>
      <c r="P24" s="482"/>
      <c r="Q24" s="482"/>
    </row>
    <row r="25" spans="1:17" s="2" customFormat="1" ht="9.75" customHeight="1">
      <c r="A25" s="54"/>
      <c r="B25" s="54"/>
      <c r="C25" s="54"/>
      <c r="D25" s="54"/>
      <c r="E25" s="54"/>
      <c r="F25" s="54"/>
      <c r="G25" s="54"/>
      <c r="H25" s="54"/>
      <c r="I25" s="54"/>
      <c r="J25" s="54"/>
      <c r="K25" s="54"/>
      <c r="L25" s="54"/>
      <c r="M25" s="54"/>
      <c r="N25" s="18"/>
      <c r="O25" s="54"/>
      <c r="P25" s="54"/>
    </row>
    <row r="26" spans="1:17" s="2" customFormat="1" ht="16.7" customHeight="1">
      <c r="C26" s="54"/>
      <c r="I26" s="54"/>
      <c r="L26" s="54"/>
      <c r="N26" s="18"/>
      <c r="O26" s="54"/>
    </row>
    <row r="27" spans="1:17" s="2" customFormat="1" ht="16.7" customHeight="1">
      <c r="A27" s="2" t="s">
        <v>1022</v>
      </c>
      <c r="C27" s="54"/>
      <c r="E27" s="156"/>
      <c r="F27" s="7" t="s">
        <v>15</v>
      </c>
      <c r="G27" s="156"/>
      <c r="H27" s="156"/>
      <c r="I27" s="156"/>
      <c r="J27" s="156"/>
      <c r="K27" s="7"/>
      <c r="L27" s="155"/>
      <c r="M27" s="7" t="s">
        <v>16</v>
      </c>
      <c r="N27" s="7"/>
      <c r="O27" s="7"/>
      <c r="P27" s="7"/>
    </row>
    <row r="28" spans="1:17" ht="16.7" customHeight="1"/>
    <row r="29" spans="1:17" ht="16.7" customHeight="1"/>
  </sheetData>
  <mergeCells count="14">
    <mergeCell ref="A14:B14"/>
    <mergeCell ref="A21:B21"/>
    <mergeCell ref="A24:Q24"/>
    <mergeCell ref="C7:D7"/>
    <mergeCell ref="F7:G7"/>
    <mergeCell ref="I7:J7"/>
    <mergeCell ref="L7:M7"/>
    <mergeCell ref="O7:P7"/>
    <mergeCell ref="I6:M6"/>
    <mergeCell ref="A1:Q1"/>
    <mergeCell ref="A2:Q2"/>
    <mergeCell ref="A3:Q3"/>
    <mergeCell ref="A4:Q4"/>
    <mergeCell ref="A5:Q5"/>
  </mergeCells>
  <phoneticPr fontId="9" type="noConversion"/>
  <printOptions horizontalCentered="1"/>
  <pageMargins left="0.59055118110236215" right="0.59055118110236215" top="0.78740157480314965" bottom="0.78740157480314965" header="0.39370078740157483" footer="0.39370078740157483"/>
  <pageSetup paperSize="9" scale="81" firstPageNumber="5" fitToHeight="0" orientation="portrait" blackAndWhite="1" useFirstPageNumber="1" r:id="rId1"/>
  <headerFooter alignWithMargins="0">
    <oddFooter>&amp;C&amp;"Times New Roman,標準"- &amp;P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713BF-AF0E-4AF7-8737-98D850A1F2FD}">
  <sheetPr>
    <pageSetUpPr fitToPage="1"/>
  </sheetPr>
  <dimension ref="A1:W57"/>
  <sheetViews>
    <sheetView view="pageBreakPreview" topLeftCell="A4" zoomScale="130" zoomScaleNormal="100" zoomScaleSheetLayoutView="130" workbookViewId="0">
      <selection activeCell="A19" sqref="A19"/>
    </sheetView>
  </sheetViews>
  <sheetFormatPr defaultColWidth="9" defaultRowHeight="21.95" customHeight="1"/>
  <cols>
    <col min="1" max="1" width="45" style="3" customWidth="1"/>
    <col min="2" max="3" width="1.625" style="3" customWidth="1"/>
    <col min="4" max="4" width="13.25" style="3" customWidth="1"/>
    <col min="5" max="5" width="2" style="3" customWidth="1"/>
    <col min="6" max="6" width="3.625" style="3" customWidth="1"/>
    <col min="7" max="8" width="1.875" style="3" customWidth="1"/>
    <col min="9" max="9" width="13.25" style="3" customWidth="1"/>
    <col min="10" max="10" width="1.625" style="3" customWidth="1"/>
    <col min="11" max="11" width="13.25" style="3" bestFit="1" customWidth="1"/>
    <col min="12" max="12" width="11.75" style="3" bestFit="1" customWidth="1"/>
    <col min="13" max="13" width="10.625" style="3" bestFit="1" customWidth="1"/>
    <col min="14" max="16384" width="9" style="3"/>
  </cols>
  <sheetData>
    <row r="1" spans="1:11" ht="23.25" customHeight="1">
      <c r="A1" s="489" t="str">
        <f>資產負債表!A1</f>
        <v>鍍威精密股份有限公司</v>
      </c>
      <c r="B1" s="489"/>
      <c r="C1" s="489"/>
      <c r="D1" s="489"/>
      <c r="E1" s="489"/>
      <c r="F1" s="489"/>
      <c r="G1" s="489"/>
      <c r="H1" s="489"/>
      <c r="I1" s="489"/>
    </row>
    <row r="2" spans="1:11" ht="23.25" customHeight="1">
      <c r="A2" s="489" t="s">
        <v>37</v>
      </c>
      <c r="B2" s="489"/>
      <c r="C2" s="489"/>
      <c r="D2" s="489"/>
      <c r="E2" s="489"/>
      <c r="F2" s="489"/>
      <c r="G2" s="489"/>
      <c r="H2" s="489"/>
      <c r="I2" s="489"/>
    </row>
    <row r="3" spans="1:11" ht="23.25" customHeight="1">
      <c r="A3" s="489" t="str">
        <f>損益表!A3</f>
        <v>民國一一三年一月一日至十二月三十一日</v>
      </c>
      <c r="B3" s="490"/>
      <c r="C3" s="490"/>
      <c r="D3" s="490"/>
      <c r="E3" s="490"/>
      <c r="F3" s="490"/>
      <c r="G3" s="490"/>
      <c r="H3" s="490"/>
      <c r="I3" s="490"/>
    </row>
    <row r="4" spans="1:11" ht="23.25" customHeight="1">
      <c r="A4" s="489" t="str">
        <f>損益表!A4</f>
        <v>及一一二年一月一日至十二月三十一日</v>
      </c>
      <c r="B4" s="490"/>
      <c r="C4" s="490"/>
      <c r="D4" s="490"/>
      <c r="E4" s="490"/>
      <c r="F4" s="490"/>
      <c r="G4" s="490"/>
      <c r="H4" s="490"/>
      <c r="I4" s="490"/>
    </row>
    <row r="5" spans="1:11" ht="11.25" customHeight="1">
      <c r="A5" s="178"/>
      <c r="B5" s="179"/>
      <c r="C5" s="179"/>
      <c r="D5" s="179"/>
      <c r="E5" s="179"/>
      <c r="F5" s="179"/>
      <c r="G5" s="179"/>
      <c r="H5" s="179"/>
      <c r="I5" s="179"/>
    </row>
    <row r="6" spans="1:11" ht="17.45" customHeight="1">
      <c r="A6" s="491" t="s">
        <v>3</v>
      </c>
      <c r="B6" s="491"/>
      <c r="C6" s="491"/>
      <c r="D6" s="491"/>
      <c r="E6" s="491"/>
      <c r="F6" s="491"/>
      <c r="G6" s="491"/>
      <c r="H6" s="491"/>
      <c r="I6" s="491"/>
    </row>
    <row r="7" spans="1:11" ht="10.5" customHeight="1">
      <c r="C7" s="492" t="str">
        <f>損益表!C7</f>
        <v>一一三年度</v>
      </c>
      <c r="D7" s="492"/>
      <c r="E7" s="150"/>
      <c r="F7" s="150"/>
      <c r="G7" s="151"/>
      <c r="H7" s="492" t="s">
        <v>1036</v>
      </c>
      <c r="I7" s="492"/>
      <c r="J7" s="31"/>
    </row>
    <row r="8" spans="1:11" s="7" customFormat="1" ht="12" customHeight="1">
      <c r="A8" s="3"/>
      <c r="C8" s="493"/>
      <c r="D8" s="493"/>
      <c r="E8" s="152"/>
      <c r="F8" s="152"/>
      <c r="G8" s="153"/>
      <c r="H8" s="493"/>
      <c r="I8" s="493"/>
      <c r="J8" s="32"/>
    </row>
    <row r="9" spans="1:11" ht="15.95" customHeight="1">
      <c r="A9" s="303" t="s">
        <v>1137</v>
      </c>
      <c r="B9" s="184"/>
      <c r="C9" s="184"/>
      <c r="D9" s="184"/>
      <c r="E9" s="184"/>
      <c r="F9" s="184"/>
      <c r="G9" s="184"/>
      <c r="H9" s="184"/>
      <c r="I9" s="184"/>
    </row>
    <row r="10" spans="1:11" ht="15.95" customHeight="1">
      <c r="A10" s="186" t="s">
        <v>1979</v>
      </c>
      <c r="B10" s="185"/>
      <c r="C10" s="189" t="s">
        <v>2</v>
      </c>
      <c r="D10" s="188">
        <f>損益表!D26</f>
        <v>233808</v>
      </c>
      <c r="E10" s="304"/>
      <c r="F10" s="185"/>
      <c r="G10" s="185"/>
      <c r="H10" s="189" t="s">
        <v>2</v>
      </c>
      <c r="I10" s="188">
        <f>損益表!I26</f>
        <v>-22866983</v>
      </c>
      <c r="J10" s="304"/>
    </row>
    <row r="11" spans="1:11" ht="15.95" customHeight="1">
      <c r="A11" s="306" t="s">
        <v>1153</v>
      </c>
      <c r="B11" s="184"/>
      <c r="C11" s="184"/>
      <c r="D11" s="188"/>
      <c r="E11" s="305"/>
      <c r="F11" s="185"/>
      <c r="G11" s="185"/>
      <c r="H11" s="305"/>
      <c r="I11" s="188"/>
      <c r="J11" s="304"/>
    </row>
    <row r="12" spans="1:11" ht="15.95" hidden="1" customHeight="1">
      <c r="A12" s="306" t="s">
        <v>1152</v>
      </c>
      <c r="B12" s="184"/>
      <c r="C12" s="184"/>
      <c r="D12" s="188"/>
      <c r="E12" s="305"/>
      <c r="F12" s="185"/>
      <c r="G12" s="185"/>
      <c r="H12" s="305"/>
      <c r="I12" s="188"/>
      <c r="J12" s="304"/>
    </row>
    <row r="13" spans="1:11" ht="15.95" customHeight="1">
      <c r="A13" s="307" t="s">
        <v>1013</v>
      </c>
      <c r="B13" s="184"/>
      <c r="C13" s="309"/>
      <c r="D13" s="188">
        <f>-損益表!D16</f>
        <v>-160806</v>
      </c>
      <c r="E13" s="305"/>
      <c r="F13" s="185"/>
      <c r="G13" s="185"/>
      <c r="H13" s="305"/>
      <c r="I13" s="188">
        <f>-損益表!I16</f>
        <v>-185761</v>
      </c>
      <c r="J13" s="304"/>
    </row>
    <row r="14" spans="1:11" ht="15.95" customHeight="1">
      <c r="A14" s="307" t="s">
        <v>1016</v>
      </c>
      <c r="B14" s="184"/>
      <c r="C14" s="309"/>
      <c r="D14" s="188">
        <f>-損益表!D21</f>
        <v>704142</v>
      </c>
      <c r="E14" s="305"/>
      <c r="F14" s="185"/>
      <c r="G14" s="185"/>
      <c r="H14" s="305"/>
      <c r="I14" s="188">
        <f>-損益表!I21</f>
        <v>372259</v>
      </c>
      <c r="J14" s="304"/>
    </row>
    <row r="15" spans="1:11" ht="15.95" customHeight="1">
      <c r="A15" s="307" t="s">
        <v>1144</v>
      </c>
      <c r="B15" s="184"/>
      <c r="C15" s="309"/>
      <c r="D15" s="188">
        <f>-'調節表 '!D53</f>
        <v>3848594</v>
      </c>
      <c r="E15" s="305"/>
      <c r="F15" s="185"/>
      <c r="G15" s="185"/>
      <c r="H15" s="305"/>
      <c r="I15" s="188">
        <f>-'調節表 '!E53</f>
        <v>7976172</v>
      </c>
      <c r="J15" s="304"/>
      <c r="K15" s="185"/>
    </row>
    <row r="16" spans="1:11" ht="15.95" customHeight="1">
      <c r="A16" s="307" t="s">
        <v>1145</v>
      </c>
      <c r="B16" s="184"/>
      <c r="C16" s="309"/>
      <c r="D16" s="188">
        <f>-'調節表 '!D84</f>
        <v>51107</v>
      </c>
      <c r="E16" s="305"/>
      <c r="F16" s="185"/>
      <c r="G16" s="185"/>
      <c r="H16" s="305"/>
      <c r="I16" s="188">
        <f>-'調節表 '!E84</f>
        <v>101268</v>
      </c>
      <c r="J16" s="304"/>
    </row>
    <row r="17" spans="1:10" ht="15.95" hidden="1" customHeight="1">
      <c r="A17" s="307" t="s">
        <v>1019</v>
      </c>
      <c r="B17" s="184"/>
      <c r="C17" s="309"/>
      <c r="D17" s="188"/>
      <c r="E17" s="305"/>
      <c r="F17" s="185"/>
      <c r="G17" s="185"/>
      <c r="H17" s="305"/>
      <c r="I17" s="188"/>
      <c r="J17" s="304"/>
    </row>
    <row r="18" spans="1:10" ht="15.95" customHeight="1">
      <c r="A18" s="306" t="s">
        <v>1151</v>
      </c>
      <c r="B18" s="184"/>
      <c r="C18" s="309"/>
      <c r="D18" s="188"/>
      <c r="E18" s="305"/>
      <c r="F18" s="185"/>
      <c r="G18" s="185"/>
      <c r="H18" s="305"/>
      <c r="I18" s="188"/>
      <c r="J18" s="304"/>
    </row>
    <row r="19" spans="1:10" ht="15.95" customHeight="1">
      <c r="A19" s="307" t="s">
        <v>1146</v>
      </c>
      <c r="B19" s="184"/>
      <c r="C19" s="309"/>
      <c r="D19" s="188">
        <f>資產負債表!S11</f>
        <v>-1392467</v>
      </c>
      <c r="E19" s="305"/>
      <c r="F19" s="185"/>
      <c r="G19" s="185"/>
      <c r="H19" s="305"/>
      <c r="I19" s="188">
        <f>資產負債表!U11</f>
        <v>-1763585</v>
      </c>
      <c r="J19" s="304"/>
    </row>
    <row r="20" spans="1:10" ht="15.95" customHeight="1">
      <c r="A20" s="307" t="s">
        <v>1147</v>
      </c>
      <c r="B20" s="184"/>
      <c r="C20" s="309"/>
      <c r="D20" s="188">
        <f>資產負債表!S12</f>
        <v>-6201010</v>
      </c>
      <c r="E20" s="305"/>
      <c r="F20" s="185"/>
      <c r="G20" s="185"/>
      <c r="H20" s="305"/>
      <c r="I20" s="188">
        <f>資產負債表!U12</f>
        <v>-4067254</v>
      </c>
      <c r="J20" s="304"/>
    </row>
    <row r="21" spans="1:10" ht="15.95" customHeight="1">
      <c r="A21" s="307" t="s">
        <v>1980</v>
      </c>
      <c r="B21" s="184"/>
      <c r="C21" s="309"/>
      <c r="D21" s="188">
        <f>資產負債表!S13</f>
        <v>169446</v>
      </c>
      <c r="E21" s="305"/>
      <c r="F21" s="185"/>
      <c r="G21" s="185"/>
      <c r="H21" s="305"/>
      <c r="I21" s="188">
        <f>資產負債表!U13</f>
        <v>76280</v>
      </c>
      <c r="J21" s="304"/>
    </row>
    <row r="22" spans="1:10" ht="15.95" customHeight="1">
      <c r="A22" s="307" t="s">
        <v>1148</v>
      </c>
      <c r="B22" s="184"/>
      <c r="C22" s="309"/>
      <c r="D22" s="188">
        <f>資產負債表!S14</f>
        <v>-510990</v>
      </c>
      <c r="E22" s="305"/>
      <c r="F22" s="185"/>
      <c r="G22" s="185"/>
      <c r="H22" s="305"/>
      <c r="I22" s="188">
        <f>資產負債表!U14</f>
        <v>-313862</v>
      </c>
      <c r="J22" s="304"/>
    </row>
    <row r="23" spans="1:10" ht="15.95" customHeight="1">
      <c r="A23" s="307" t="s">
        <v>1981</v>
      </c>
      <c r="B23" s="184"/>
      <c r="C23" s="304"/>
      <c r="D23" s="188">
        <f>資產負債表!S15</f>
        <v>958767</v>
      </c>
      <c r="E23" s="304"/>
      <c r="F23" s="185"/>
      <c r="G23" s="185"/>
      <c r="H23" s="305"/>
      <c r="I23" s="188">
        <f>資產負債表!U15</f>
        <v>774019</v>
      </c>
      <c r="J23" s="304"/>
    </row>
    <row r="24" spans="1:10" ht="15.95" customHeight="1">
      <c r="A24" s="307" t="s">
        <v>1982</v>
      </c>
      <c r="B24" s="184"/>
      <c r="C24" s="309"/>
      <c r="D24" s="188">
        <f>資產負債表!S16</f>
        <v>-264986</v>
      </c>
      <c r="E24" s="305"/>
      <c r="F24" s="185"/>
      <c r="G24" s="185"/>
      <c r="H24" s="305"/>
      <c r="I24" s="188">
        <f>資產負債表!U16</f>
        <v>1162771</v>
      </c>
      <c r="J24" s="304"/>
    </row>
    <row r="25" spans="1:10" ht="15.95" customHeight="1">
      <c r="A25" s="307" t="s">
        <v>1983</v>
      </c>
      <c r="B25" s="184"/>
      <c r="C25" s="309"/>
      <c r="D25" s="188">
        <f>資產負債表!S29</f>
        <v>-2144165</v>
      </c>
      <c r="E25" s="305"/>
      <c r="F25" s="185"/>
      <c r="G25" s="185"/>
      <c r="H25" s="305"/>
      <c r="I25" s="188">
        <f>資產負債表!U29</f>
        <v>-9505172</v>
      </c>
      <c r="J25" s="304"/>
    </row>
    <row r="26" spans="1:10" ht="15.95" customHeight="1">
      <c r="A26" s="307" t="s">
        <v>1984</v>
      </c>
      <c r="B26" s="184"/>
      <c r="C26" s="309"/>
      <c r="D26" s="188">
        <f>資產負債表!S30</f>
        <v>-1627037</v>
      </c>
      <c r="E26" s="305"/>
      <c r="F26" s="185"/>
      <c r="G26" s="185"/>
      <c r="H26" s="305"/>
      <c r="I26" s="188">
        <f>資產負債表!U30</f>
        <v>2507376</v>
      </c>
      <c r="J26" s="304"/>
    </row>
    <row r="27" spans="1:10" ht="15.95" customHeight="1">
      <c r="A27" s="307" t="s">
        <v>1149</v>
      </c>
      <c r="B27" s="184"/>
      <c r="C27" s="309"/>
      <c r="D27" s="188">
        <f>'調節表 '!D5</f>
        <v>2493008</v>
      </c>
      <c r="E27" s="305"/>
      <c r="F27" s="185"/>
      <c r="G27" s="185"/>
      <c r="H27" s="305"/>
      <c r="I27" s="188">
        <f>'調節表 '!E5</f>
        <v>231030</v>
      </c>
      <c r="J27" s="304"/>
    </row>
    <row r="28" spans="1:10" ht="15.95" customHeight="1">
      <c r="A28" s="307" t="s">
        <v>1985</v>
      </c>
      <c r="B28" s="184"/>
      <c r="C28" s="309"/>
      <c r="D28" s="188">
        <f>資產負債表!S32</f>
        <v>1202</v>
      </c>
      <c r="E28" s="305"/>
      <c r="F28" s="185"/>
      <c r="G28" s="185"/>
      <c r="H28" s="305"/>
      <c r="I28" s="188">
        <v>0</v>
      </c>
      <c r="J28" s="304"/>
    </row>
    <row r="29" spans="1:10" ht="15.95" customHeight="1">
      <c r="A29" s="307" t="s">
        <v>1986</v>
      </c>
      <c r="B29" s="184"/>
      <c r="C29" s="309"/>
      <c r="D29" s="188">
        <f>資產負債表!S33</f>
        <v>54172</v>
      </c>
      <c r="E29" s="305"/>
      <c r="F29" s="185"/>
      <c r="G29" s="185"/>
      <c r="H29" s="308"/>
      <c r="I29" s="188">
        <f>資產負債表!I33-資產負債表!O33</f>
        <v>41883</v>
      </c>
      <c r="J29" s="304"/>
    </row>
    <row r="30" spans="1:10" ht="15.95" customHeight="1">
      <c r="A30" s="306" t="s">
        <v>1150</v>
      </c>
      <c r="B30" s="184"/>
      <c r="C30" s="309"/>
      <c r="D30" s="340">
        <f>SUM(D10:D29)</f>
        <v>-3787215</v>
      </c>
      <c r="E30" s="305"/>
      <c r="F30" s="185"/>
      <c r="G30" s="185"/>
      <c r="H30" s="305"/>
      <c r="I30" s="340">
        <f>SUM(I10:I29)</f>
        <v>-25459559</v>
      </c>
      <c r="J30" s="304"/>
    </row>
    <row r="31" spans="1:10" ht="15.95" customHeight="1">
      <c r="A31" s="302" t="s">
        <v>1134</v>
      </c>
      <c r="B31" s="184"/>
      <c r="C31" s="309"/>
      <c r="D31" s="188">
        <f>-'調節表 '!D11</f>
        <v>-688956</v>
      </c>
      <c r="E31" s="305"/>
      <c r="F31" s="185"/>
      <c r="G31" s="185"/>
      <c r="H31" s="305"/>
      <c r="I31" s="188">
        <f>-'調節表 '!E11</f>
        <v>-368568</v>
      </c>
      <c r="J31" s="304"/>
    </row>
    <row r="32" spans="1:10" ht="15.95" hidden="1" customHeight="1">
      <c r="A32" s="302" t="s">
        <v>1135</v>
      </c>
      <c r="B32" s="184"/>
      <c r="C32" s="309"/>
      <c r="D32" s="188">
        <v>0</v>
      </c>
      <c r="E32" s="305"/>
      <c r="F32" s="185"/>
      <c r="G32" s="185"/>
      <c r="H32" s="305"/>
      <c r="I32" s="188">
        <v>0</v>
      </c>
      <c r="J32" s="304"/>
    </row>
    <row r="33" spans="1:10" ht="15.95" customHeight="1">
      <c r="A33" s="302" t="s">
        <v>1136</v>
      </c>
      <c r="B33" s="184"/>
      <c r="C33" s="309"/>
      <c r="D33" s="188">
        <f>損益表!D16</f>
        <v>160806</v>
      </c>
      <c r="E33" s="305"/>
      <c r="F33" s="185"/>
      <c r="G33" s="185"/>
      <c r="H33" s="305"/>
      <c r="I33" s="188">
        <f>損益表!I16</f>
        <v>185761</v>
      </c>
      <c r="J33" s="304"/>
    </row>
    <row r="34" spans="1:10" ht="15.95" hidden="1" customHeight="1">
      <c r="A34" s="186" t="s">
        <v>1138</v>
      </c>
      <c r="B34" s="184"/>
      <c r="C34" s="309"/>
      <c r="D34" s="188"/>
      <c r="E34" s="305"/>
      <c r="F34" s="185"/>
      <c r="G34" s="185"/>
      <c r="H34" s="305"/>
      <c r="I34" s="188"/>
      <c r="J34" s="304"/>
    </row>
    <row r="35" spans="1:10" ht="15.95" customHeight="1">
      <c r="A35" s="306" t="s">
        <v>1987</v>
      </c>
      <c r="B35" s="184"/>
      <c r="C35" s="309"/>
      <c r="D35" s="341">
        <f>SUM(D30:D33)</f>
        <v>-4315365</v>
      </c>
      <c r="E35" s="305"/>
      <c r="F35" s="185"/>
      <c r="G35" s="185"/>
      <c r="H35" s="305"/>
      <c r="I35" s="341">
        <f>SUM(I30:I33)</f>
        <v>-25642366</v>
      </c>
      <c r="J35" s="304"/>
    </row>
    <row r="36" spans="1:10" ht="7.5" customHeight="1">
      <c r="A36" s="186"/>
      <c r="B36" s="184"/>
      <c r="C36" s="309"/>
      <c r="D36" s="188"/>
      <c r="E36" s="305"/>
      <c r="F36" s="185"/>
      <c r="G36" s="185"/>
      <c r="H36" s="305"/>
      <c r="I36" s="188"/>
      <c r="J36" s="304"/>
    </row>
    <row r="37" spans="1:10" ht="15.95" customHeight="1">
      <c r="A37" s="303" t="s">
        <v>1139</v>
      </c>
      <c r="B37" s="184"/>
      <c r="C37" s="309"/>
      <c r="D37" s="188"/>
      <c r="E37" s="305"/>
      <c r="F37" s="185"/>
      <c r="G37" s="185"/>
      <c r="H37" s="305"/>
      <c r="I37" s="188"/>
      <c r="J37" s="304"/>
    </row>
    <row r="38" spans="1:10" ht="15.95" customHeight="1">
      <c r="A38" s="307" t="s">
        <v>1154</v>
      </c>
      <c r="B38" s="184"/>
      <c r="C38" s="309"/>
      <c r="D38" s="342">
        <f>-'調節表 '!D50</f>
        <v>-2388254</v>
      </c>
      <c r="E38" s="305"/>
      <c r="F38" s="185"/>
      <c r="G38" s="185"/>
      <c r="H38" s="305"/>
      <c r="I38" s="342">
        <f>-'調節表 '!E50</f>
        <v>-4900825</v>
      </c>
      <c r="J38" s="304"/>
    </row>
    <row r="39" spans="1:10" ht="15.95" hidden="1" customHeight="1">
      <c r="A39" s="307" t="s">
        <v>237</v>
      </c>
      <c r="B39" s="184"/>
      <c r="C39" s="309"/>
      <c r="D39" s="188"/>
      <c r="E39" s="305"/>
      <c r="F39" s="185"/>
      <c r="G39" s="185"/>
      <c r="H39" s="305"/>
      <c r="I39" s="187"/>
      <c r="J39" s="304"/>
    </row>
    <row r="40" spans="1:10" ht="15.95" customHeight="1">
      <c r="A40" s="307" t="s">
        <v>1155</v>
      </c>
      <c r="B40" s="184"/>
      <c r="C40" s="309"/>
      <c r="D40" s="188">
        <f>-'調節表 '!D83</f>
        <v>-175478</v>
      </c>
      <c r="E40" s="305"/>
      <c r="F40" s="185"/>
      <c r="G40" s="185"/>
      <c r="H40" s="305"/>
      <c r="I40" s="187">
        <v>0</v>
      </c>
      <c r="J40" s="304"/>
    </row>
    <row r="41" spans="1:10" ht="15.95" customHeight="1">
      <c r="A41" s="307" t="s">
        <v>1988</v>
      </c>
      <c r="B41" s="184"/>
      <c r="C41" s="309"/>
      <c r="D41" s="188">
        <f>-'調節表 '!D79</f>
        <v>-1596848</v>
      </c>
      <c r="E41" s="305"/>
      <c r="F41" s="185"/>
      <c r="G41" s="185"/>
      <c r="H41" s="305"/>
      <c r="I41" s="187">
        <v>0</v>
      </c>
      <c r="J41" s="304"/>
    </row>
    <row r="42" spans="1:10" ht="15.95" customHeight="1">
      <c r="A42" s="307" t="s">
        <v>1161</v>
      </c>
      <c r="B42" s="184"/>
      <c r="C42" s="309"/>
      <c r="D42" s="188">
        <f>資產負債表!S21</f>
        <v>0</v>
      </c>
      <c r="E42" s="305"/>
      <c r="F42" s="185"/>
      <c r="G42" s="185"/>
      <c r="H42" s="305"/>
      <c r="I42" s="188">
        <f>資產負債表!U21</f>
        <v>-15000</v>
      </c>
      <c r="J42" s="304"/>
    </row>
    <row r="43" spans="1:10" ht="15.95" customHeight="1">
      <c r="A43" s="306" t="s">
        <v>1156</v>
      </c>
      <c r="B43" s="184"/>
      <c r="C43" s="309"/>
      <c r="D43" s="341">
        <f>SUM(D38:D42)</f>
        <v>-4160580</v>
      </c>
      <c r="E43" s="305"/>
      <c r="F43" s="185"/>
      <c r="G43" s="185"/>
      <c r="H43" s="305"/>
      <c r="I43" s="341">
        <f>SUM(I38:I42)</f>
        <v>-4915825</v>
      </c>
      <c r="J43" s="304"/>
    </row>
    <row r="44" spans="1:10" ht="7.5" customHeight="1">
      <c r="A44" s="186"/>
      <c r="B44" s="184"/>
      <c r="C44" s="309"/>
      <c r="D44" s="188"/>
      <c r="E44" s="305"/>
      <c r="F44" s="185"/>
      <c r="G44" s="185"/>
      <c r="H44" s="305"/>
      <c r="I44" s="187"/>
      <c r="J44" s="304"/>
    </row>
    <row r="45" spans="1:10" ht="15.95" customHeight="1">
      <c r="A45" s="303" t="s">
        <v>1140</v>
      </c>
      <c r="B45" s="184"/>
      <c r="C45" s="309"/>
      <c r="D45" s="188"/>
      <c r="E45" s="305"/>
      <c r="F45" s="185"/>
      <c r="G45" s="185"/>
      <c r="H45" s="305"/>
      <c r="I45" s="188"/>
      <c r="J45" s="304"/>
    </row>
    <row r="46" spans="1:10" ht="15.95" customHeight="1">
      <c r="A46" s="307" t="s">
        <v>1989</v>
      </c>
      <c r="B46" s="184"/>
      <c r="C46" s="309"/>
      <c r="D46" s="188">
        <f>資產負債表!S34</f>
        <v>4107248</v>
      </c>
      <c r="E46" s="305"/>
      <c r="F46" s="185"/>
      <c r="G46" s="185"/>
      <c r="H46" s="305"/>
      <c r="I46" s="188">
        <f>資產負債表!U34</f>
        <v>-385307</v>
      </c>
      <c r="J46" s="304"/>
    </row>
    <row r="47" spans="1:10" ht="15.95" customHeight="1">
      <c r="A47" s="307" t="s">
        <v>1157</v>
      </c>
      <c r="B47" s="184"/>
      <c r="C47" s="309"/>
      <c r="D47" s="188">
        <f>資產負債表!S37</f>
        <v>2188701</v>
      </c>
      <c r="E47" s="305"/>
      <c r="F47" s="185"/>
      <c r="G47" s="185"/>
      <c r="H47" s="305"/>
      <c r="I47" s="188">
        <f>資產負債表!U37</f>
        <v>7991019</v>
      </c>
      <c r="J47" s="304"/>
    </row>
    <row r="48" spans="1:10" ht="15.95" hidden="1" customHeight="1">
      <c r="A48" s="307" t="s">
        <v>1141</v>
      </c>
      <c r="B48" s="184"/>
      <c r="C48" s="309"/>
      <c r="D48" s="188"/>
      <c r="E48" s="305"/>
      <c r="F48" s="185"/>
      <c r="G48" s="185"/>
      <c r="H48" s="305"/>
      <c r="I48" s="188">
        <v>0</v>
      </c>
      <c r="J48" s="304"/>
    </row>
    <row r="49" spans="1:23" ht="15.95" customHeight="1">
      <c r="A49" s="307" t="s">
        <v>1158</v>
      </c>
      <c r="B49" s="184"/>
      <c r="C49" s="309"/>
      <c r="D49" s="188">
        <v>0</v>
      </c>
      <c r="E49" s="305"/>
      <c r="F49" s="189"/>
      <c r="G49" s="189"/>
      <c r="H49" s="305"/>
      <c r="I49" s="188">
        <f>資產負債表!U42</f>
        <v>10000000</v>
      </c>
      <c r="J49" s="304"/>
    </row>
    <row r="50" spans="1:23" ht="15.95" hidden="1" customHeight="1">
      <c r="A50" s="307" t="s">
        <v>1159</v>
      </c>
      <c r="B50" s="184"/>
      <c r="C50" s="309"/>
      <c r="D50" s="188">
        <v>0</v>
      </c>
      <c r="E50" s="305"/>
      <c r="F50" s="185"/>
      <c r="G50" s="185"/>
      <c r="H50" s="305"/>
      <c r="I50" s="188">
        <v>0</v>
      </c>
      <c r="J50" s="304"/>
    </row>
    <row r="51" spans="1:23" ht="15.95" customHeight="1">
      <c r="A51" s="306" t="s">
        <v>1160</v>
      </c>
      <c r="B51" s="184"/>
      <c r="C51" s="309"/>
      <c r="D51" s="341">
        <f>SUM(D46:D50)</f>
        <v>6295949</v>
      </c>
      <c r="E51" s="305"/>
      <c r="F51" s="185"/>
      <c r="G51" s="185"/>
      <c r="H51" s="305"/>
      <c r="I51" s="341">
        <f>SUM(I46:I50)</f>
        <v>17605712</v>
      </c>
      <c r="J51" s="304"/>
    </row>
    <row r="52" spans="1:23" ht="7.5" customHeight="1">
      <c r="A52" s="186"/>
      <c r="B52" s="184"/>
      <c r="C52" s="309"/>
      <c r="D52" s="188"/>
      <c r="E52" s="305"/>
      <c r="F52" s="185"/>
      <c r="G52" s="185"/>
      <c r="H52" s="305"/>
      <c r="I52" s="188"/>
      <c r="J52" s="304"/>
    </row>
    <row r="53" spans="1:23" ht="15.95" customHeight="1">
      <c r="A53" s="190" t="s">
        <v>1162</v>
      </c>
      <c r="B53" s="184"/>
      <c r="C53" s="309"/>
      <c r="D53" s="188">
        <f>D35+D43+D51</f>
        <v>-2179996</v>
      </c>
      <c r="E53" s="305"/>
      <c r="F53" s="185"/>
      <c r="G53" s="185"/>
      <c r="H53" s="305"/>
      <c r="I53" s="188">
        <f>I35+I43+I51</f>
        <v>-12952479</v>
      </c>
      <c r="J53" s="304"/>
      <c r="K53" s="3" t="s">
        <v>1977</v>
      </c>
      <c r="L53" s="3" t="s">
        <v>1127</v>
      </c>
    </row>
    <row r="54" spans="1:23" ht="15.95" customHeight="1">
      <c r="A54" s="190" t="s">
        <v>1142</v>
      </c>
      <c r="B54" s="184"/>
      <c r="C54" s="309"/>
      <c r="D54" s="188">
        <f>資產負債表!I10</f>
        <v>7588579</v>
      </c>
      <c r="E54" s="305"/>
      <c r="F54" s="185"/>
      <c r="G54" s="185"/>
      <c r="H54" s="305"/>
      <c r="I54" s="188">
        <v>20541058</v>
      </c>
      <c r="J54" s="304"/>
      <c r="K54" s="3">
        <f>資產負債表!D10</f>
        <v>5408583</v>
      </c>
      <c r="L54" s="3">
        <f>資產負債表!I10</f>
        <v>7588579</v>
      </c>
    </row>
    <row r="55" spans="1:23" ht="15.95" customHeight="1" thickBot="1">
      <c r="A55" s="190" t="s">
        <v>1143</v>
      </c>
      <c r="B55" s="184"/>
      <c r="C55" s="191" t="s">
        <v>2</v>
      </c>
      <c r="D55" s="343">
        <f>SUM(D53:D54)</f>
        <v>5408583</v>
      </c>
      <c r="E55" s="185"/>
      <c r="F55" s="185"/>
      <c r="G55" s="185"/>
      <c r="H55" s="192" t="s">
        <v>7</v>
      </c>
      <c r="I55" s="343">
        <f>SUM(I53:I54)</f>
        <v>7588579</v>
      </c>
      <c r="K55" s="3">
        <f>D55-K54</f>
        <v>0</v>
      </c>
      <c r="L55" s="3">
        <f>I55-L54</f>
        <v>0</v>
      </c>
    </row>
    <row r="56" spans="1:23" s="183" customFormat="1" ht="27.75" customHeight="1" thickTop="1">
      <c r="A56" s="487" t="s">
        <v>236</v>
      </c>
      <c r="B56" s="487"/>
      <c r="C56" s="487"/>
      <c r="D56" s="487"/>
      <c r="E56" s="487"/>
      <c r="F56" s="487"/>
      <c r="G56" s="487"/>
      <c r="H56" s="487"/>
      <c r="I56" s="487"/>
      <c r="J56" s="487"/>
      <c r="K56" s="182"/>
      <c r="L56" s="182"/>
      <c r="M56" s="3"/>
      <c r="N56" s="182"/>
      <c r="O56" s="182"/>
      <c r="P56" s="182"/>
      <c r="Q56" s="182"/>
      <c r="R56" s="182"/>
      <c r="S56" s="182"/>
      <c r="T56" s="182"/>
      <c r="U56" s="182"/>
      <c r="V56" s="182"/>
      <c r="W56" s="182"/>
    </row>
    <row r="57" spans="1:23" s="7" customFormat="1" ht="25.5" customHeight="1">
      <c r="A57" s="488" t="s">
        <v>994</v>
      </c>
      <c r="B57" s="488"/>
      <c r="C57" s="488"/>
      <c r="D57" s="488"/>
      <c r="E57" s="488"/>
      <c r="F57" s="488"/>
      <c r="G57" s="488"/>
      <c r="H57" s="488"/>
      <c r="I57" s="488"/>
    </row>
  </sheetData>
  <mergeCells count="9">
    <mergeCell ref="A56:J56"/>
    <mergeCell ref="A57:I57"/>
    <mergeCell ref="A1:I1"/>
    <mergeCell ref="A2:I2"/>
    <mergeCell ref="A3:I3"/>
    <mergeCell ref="A4:I4"/>
    <mergeCell ref="A6:I6"/>
    <mergeCell ref="C7:D8"/>
    <mergeCell ref="H7:I8"/>
  </mergeCells>
  <phoneticPr fontId="9" type="noConversion"/>
  <printOptions horizontalCentered="1"/>
  <pageMargins left="0.70866141732283461" right="0.59055118110236215" top="0.70866141732283461" bottom="0.70866141732283461" header="0.19685039370078741" footer="0.19685039370078741"/>
  <pageSetup paperSize="9" scale="97" firstPageNumber="6" orientation="portrait" blackAndWhite="1" useFirstPageNumber="1" horizontalDpi="360" verticalDpi="360" r:id="rId1"/>
  <headerFooter alignWithMargins="0">
    <oddFooter>&amp;C&amp;"Times New Roman,粗體"- &amp;P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30F8B-19C1-445C-AD27-7C1282E2A0E6}">
  <dimension ref="A1:L87"/>
  <sheetViews>
    <sheetView topLeftCell="A72" zoomScale="115" zoomScaleNormal="115" workbookViewId="0">
      <selection activeCell="I8" sqref="I8"/>
    </sheetView>
  </sheetViews>
  <sheetFormatPr defaultColWidth="8.75" defaultRowHeight="27"/>
  <cols>
    <col min="1" max="1" width="9.125" style="202" bestFit="1" customWidth="1"/>
    <col min="2" max="2" width="18.75" style="218" customWidth="1"/>
    <col min="3" max="3" width="5.625" style="218" bestFit="1" customWidth="1"/>
    <col min="4" max="4" width="14.125" style="218" bestFit="1" customWidth="1"/>
    <col min="5" max="5" width="13" style="218" customWidth="1"/>
    <col min="6" max="7" width="8.75" style="203"/>
    <col min="8" max="8" width="11.625" style="203" bestFit="1" customWidth="1"/>
    <col min="9" max="9" width="15.625" style="203" bestFit="1" customWidth="1"/>
    <col min="10" max="11" width="14.375" style="203" bestFit="1" customWidth="1"/>
    <col min="12" max="12" width="13.5" style="203" bestFit="1" customWidth="1"/>
    <col min="13" max="16384" width="8.75" style="203"/>
  </cols>
  <sheetData>
    <row r="1" spans="1:12" ht="27.75" thickBot="1">
      <c r="B1" s="203"/>
      <c r="C1" s="203"/>
      <c r="D1" s="203"/>
      <c r="E1" s="203"/>
    </row>
    <row r="2" spans="1:12">
      <c r="A2" s="202">
        <v>1</v>
      </c>
      <c r="B2" s="204"/>
      <c r="C2" s="205"/>
      <c r="D2" s="206" t="s">
        <v>1976</v>
      </c>
      <c r="E2" s="452" t="s">
        <v>1106</v>
      </c>
    </row>
    <row r="3" spans="1:12">
      <c r="B3" s="208" t="s">
        <v>1041</v>
      </c>
      <c r="C3" s="209"/>
      <c r="D3" s="210">
        <f>E4</f>
        <v>8592311</v>
      </c>
      <c r="E3" s="211">
        <v>8361281</v>
      </c>
    </row>
    <row r="4" spans="1:12">
      <c r="B4" s="208" t="s">
        <v>1042</v>
      </c>
      <c r="C4" s="209"/>
      <c r="D4" s="212">
        <f>BS!G7-D10</f>
        <v>11085319</v>
      </c>
      <c r="E4" s="213">
        <v>8592311</v>
      </c>
    </row>
    <row r="5" spans="1:12" ht="27.75" thickBot="1">
      <c r="B5" s="214" t="s">
        <v>1043</v>
      </c>
      <c r="C5" s="215" t="s">
        <v>1044</v>
      </c>
      <c r="D5" s="216">
        <f>D4-D3</f>
        <v>2493008</v>
      </c>
      <c r="E5" s="217">
        <f>E4-E3</f>
        <v>231030</v>
      </c>
    </row>
    <row r="6" spans="1:12" ht="27.75" thickBot="1"/>
    <row r="7" spans="1:12">
      <c r="B7" s="204"/>
      <c r="C7" s="205"/>
      <c r="D7" s="206" t="str">
        <f>$D$13</f>
        <v>113年度</v>
      </c>
      <c r="E7" s="207" t="str">
        <f>$E$13</f>
        <v>112年度</v>
      </c>
    </row>
    <row r="8" spans="1:12">
      <c r="A8" s="202">
        <v>2</v>
      </c>
      <c r="B8" s="208" t="s">
        <v>1045</v>
      </c>
      <c r="C8" s="209"/>
      <c r="D8" s="210">
        <f>E10</f>
        <v>11503</v>
      </c>
      <c r="E8" s="211">
        <v>7812</v>
      </c>
      <c r="K8" s="219"/>
      <c r="L8" s="220"/>
    </row>
    <row r="9" spans="1:12">
      <c r="B9" s="208" t="s">
        <v>1046</v>
      </c>
      <c r="C9" s="218" t="s">
        <v>1047</v>
      </c>
      <c r="D9" s="221">
        <f>-損益表!D21</f>
        <v>704142</v>
      </c>
      <c r="E9" s="222">
        <v>372259</v>
      </c>
    </row>
    <row r="10" spans="1:12">
      <c r="B10" s="208" t="s">
        <v>1048</v>
      </c>
      <c r="C10" s="209"/>
      <c r="D10" s="212">
        <v>26689</v>
      </c>
      <c r="E10" s="213">
        <v>11503</v>
      </c>
    </row>
    <row r="11" spans="1:12" ht="27.75" thickBot="1">
      <c r="B11" s="214" t="s">
        <v>1049</v>
      </c>
      <c r="C11" s="215" t="s">
        <v>1050</v>
      </c>
      <c r="D11" s="216">
        <f>D8+D9-D10</f>
        <v>688956</v>
      </c>
      <c r="E11" s="223">
        <f>E8+E9-E10</f>
        <v>368568</v>
      </c>
    </row>
    <row r="12" spans="1:12" ht="27.75" thickBot="1"/>
    <row r="13" spans="1:12" ht="27.75" thickBot="1">
      <c r="B13" s="204"/>
      <c r="C13" s="205"/>
      <c r="D13" s="206" t="str">
        <f>D2</f>
        <v>113年度</v>
      </c>
      <c r="E13" s="207" t="str">
        <f>E2</f>
        <v>112年度</v>
      </c>
      <c r="H13" s="224" t="s">
        <v>1029</v>
      </c>
      <c r="I13" s="225">
        <v>111</v>
      </c>
      <c r="J13" s="225">
        <v>110</v>
      </c>
      <c r="K13" s="225">
        <v>109</v>
      </c>
      <c r="L13" s="226">
        <v>108</v>
      </c>
    </row>
    <row r="14" spans="1:12">
      <c r="A14" s="202">
        <v>3</v>
      </c>
      <c r="B14" s="208" t="s">
        <v>1051</v>
      </c>
      <c r="C14" s="209"/>
      <c r="D14" s="221">
        <f>E18</f>
        <v>0</v>
      </c>
      <c r="E14" s="222">
        <v>0</v>
      </c>
      <c r="H14" s="227" t="s">
        <v>1030</v>
      </c>
      <c r="I14" s="228"/>
      <c r="J14" s="228"/>
      <c r="K14" s="228"/>
      <c r="L14" s="229"/>
    </row>
    <row r="15" spans="1:12">
      <c r="B15" s="208" t="s">
        <v>1052</v>
      </c>
      <c r="C15" s="209"/>
      <c r="D15" s="221">
        <f>E19</f>
        <v>0</v>
      </c>
      <c r="E15" s="222">
        <v>0</v>
      </c>
      <c r="H15" s="227"/>
      <c r="J15" s="228"/>
      <c r="K15" s="228"/>
      <c r="L15" s="229"/>
    </row>
    <row r="16" spans="1:12">
      <c r="B16" s="208" t="s">
        <v>1053</v>
      </c>
      <c r="D16" s="221"/>
      <c r="E16" s="222">
        <v>0</v>
      </c>
      <c r="H16" s="227" t="s">
        <v>1031</v>
      </c>
      <c r="I16" s="228"/>
      <c r="J16" s="228"/>
      <c r="K16" s="228"/>
      <c r="L16" s="229"/>
    </row>
    <row r="17" spans="2:12">
      <c r="B17" s="208" t="s">
        <v>1054</v>
      </c>
      <c r="C17" s="209" t="s">
        <v>1055</v>
      </c>
      <c r="D17" s="221">
        <v>0</v>
      </c>
      <c r="E17" s="222">
        <v>0</v>
      </c>
      <c r="H17" s="227" t="s">
        <v>1056</v>
      </c>
      <c r="I17" s="228"/>
      <c r="J17" s="228"/>
      <c r="K17" s="228"/>
      <c r="L17" s="229"/>
    </row>
    <row r="18" spans="2:12">
      <c r="B18" s="208" t="s">
        <v>1057</v>
      </c>
      <c r="C18" s="209"/>
      <c r="D18" s="221">
        <v>0</v>
      </c>
      <c r="E18" s="222">
        <v>0</v>
      </c>
      <c r="H18" s="227" t="s">
        <v>1058</v>
      </c>
      <c r="I18" s="228"/>
      <c r="J18" s="228"/>
      <c r="K18" s="228"/>
      <c r="L18" s="229"/>
    </row>
    <row r="19" spans="2:12" ht="27.75" thickBot="1">
      <c r="B19" s="208" t="s">
        <v>1059</v>
      </c>
      <c r="C19" s="209"/>
      <c r="D19" s="221">
        <v>0</v>
      </c>
      <c r="E19" s="230">
        <v>0</v>
      </c>
      <c r="H19" s="231"/>
      <c r="I19" s="232"/>
      <c r="J19" s="232"/>
      <c r="K19" s="232"/>
      <c r="L19" s="233"/>
    </row>
    <row r="20" spans="2:12" ht="27.75" thickBot="1">
      <c r="B20" s="214" t="s">
        <v>1060</v>
      </c>
      <c r="C20" s="215" t="s">
        <v>1061</v>
      </c>
      <c r="D20" s="216">
        <f>D14-D15+D17-D18+D19</f>
        <v>0</v>
      </c>
      <c r="E20" s="223">
        <v>0</v>
      </c>
      <c r="F20" s="221"/>
      <c r="H20" s="203" t="s">
        <v>1062</v>
      </c>
      <c r="I20" s="228"/>
    </row>
    <row r="21" spans="2:12" ht="27.75" thickBot="1">
      <c r="H21" s="203" t="s">
        <v>1063</v>
      </c>
      <c r="I21" s="228">
        <f>I19-I20</f>
        <v>0</v>
      </c>
      <c r="J21" s="220">
        <f>J19-J20</f>
        <v>0</v>
      </c>
    </row>
    <row r="22" spans="2:12" hidden="1">
      <c r="B22" s="204"/>
      <c r="C22" s="205"/>
      <c r="D22" s="206" t="str">
        <f>D7</f>
        <v>113年度</v>
      </c>
      <c r="E22" s="207" t="str">
        <f>E7</f>
        <v>112年度</v>
      </c>
    </row>
    <row r="23" spans="2:12" hidden="1">
      <c r="B23" s="208" t="s">
        <v>1064</v>
      </c>
      <c r="C23" s="209"/>
      <c r="D23" s="221"/>
      <c r="E23" s="234"/>
    </row>
    <row r="24" spans="2:12" hidden="1">
      <c r="B24" s="208" t="s">
        <v>1065</v>
      </c>
      <c r="C24" s="209"/>
      <c r="D24" s="210"/>
      <c r="E24" s="234"/>
    </row>
    <row r="25" spans="2:12" hidden="1">
      <c r="B25" s="235" t="s">
        <v>1066</v>
      </c>
      <c r="D25" s="236"/>
      <c r="E25" s="234"/>
    </row>
    <row r="26" spans="2:12" hidden="1">
      <c r="B26" s="208" t="s">
        <v>1067</v>
      </c>
      <c r="C26" s="209"/>
      <c r="D26" s="221"/>
      <c r="E26" s="234"/>
    </row>
    <row r="27" spans="2:12" hidden="1">
      <c r="B27" s="208" t="s">
        <v>1068</v>
      </c>
      <c r="C27" s="209"/>
      <c r="D27" s="212"/>
      <c r="E27" s="234"/>
    </row>
    <row r="28" spans="2:12" hidden="1">
      <c r="B28" s="235" t="s">
        <v>1069</v>
      </c>
      <c r="D28" s="236"/>
      <c r="E28" s="234"/>
    </row>
    <row r="29" spans="2:12" ht="27.75" hidden="1" thickBot="1">
      <c r="B29" s="214" t="s">
        <v>1070</v>
      </c>
      <c r="C29" s="215" t="s">
        <v>238</v>
      </c>
      <c r="D29" s="216"/>
      <c r="E29" s="237"/>
    </row>
    <row r="30" spans="2:12" hidden="1"/>
    <row r="31" spans="2:12" hidden="1">
      <c r="B31" s="204"/>
      <c r="C31" s="205"/>
      <c r="D31" s="206" t="str">
        <f>D22</f>
        <v>113年度</v>
      </c>
      <c r="E31" s="207" t="str">
        <f>E22</f>
        <v>112年度</v>
      </c>
    </row>
    <row r="32" spans="2:12" hidden="1">
      <c r="B32" s="208" t="s">
        <v>1071</v>
      </c>
      <c r="C32" s="209"/>
      <c r="D32" s="221"/>
      <c r="E32" s="234"/>
    </row>
    <row r="33" spans="2:5" hidden="1">
      <c r="B33" s="208" t="s">
        <v>1072</v>
      </c>
      <c r="C33" s="209"/>
      <c r="D33" s="238"/>
      <c r="E33" s="234"/>
    </row>
    <row r="34" spans="2:5" hidden="1">
      <c r="B34" s="235" t="s">
        <v>1066</v>
      </c>
      <c r="D34" s="236"/>
      <c r="E34" s="234"/>
    </row>
    <row r="35" spans="2:5" hidden="1">
      <c r="B35" s="208" t="s">
        <v>1073</v>
      </c>
      <c r="C35" s="209"/>
      <c r="D35" s="221"/>
      <c r="E35" s="234"/>
    </row>
    <row r="36" spans="2:5" hidden="1">
      <c r="B36" s="208" t="s">
        <v>1074</v>
      </c>
      <c r="C36" s="209"/>
      <c r="D36" s="239"/>
      <c r="E36" s="234"/>
    </row>
    <row r="37" spans="2:5" hidden="1">
      <c r="B37" s="235" t="s">
        <v>1069</v>
      </c>
      <c r="D37" s="236"/>
      <c r="E37" s="234"/>
    </row>
    <row r="38" spans="2:5" ht="27.75" hidden="1" thickBot="1">
      <c r="B38" s="214" t="s">
        <v>1070</v>
      </c>
      <c r="C38" s="215" t="s">
        <v>239</v>
      </c>
      <c r="D38" s="216"/>
      <c r="E38" s="237"/>
    </row>
    <row r="39" spans="2:5" hidden="1"/>
    <row r="40" spans="2:5" hidden="1">
      <c r="B40" s="204"/>
      <c r="C40" s="205"/>
      <c r="D40" s="206" t="str">
        <f>D31</f>
        <v>113年度</v>
      </c>
      <c r="E40" s="207" t="str">
        <f>E31</f>
        <v>112年度</v>
      </c>
    </row>
    <row r="41" spans="2:5" hidden="1">
      <c r="B41" s="235" t="s">
        <v>1075</v>
      </c>
      <c r="C41" s="209"/>
      <c r="D41" s="240">
        <f>D21</f>
        <v>0</v>
      </c>
      <c r="E41" s="234"/>
    </row>
    <row r="42" spans="2:5" hidden="1">
      <c r="B42" s="208" t="s">
        <v>1076</v>
      </c>
      <c r="C42" s="209"/>
      <c r="D42" s="241"/>
      <c r="E42" s="234"/>
    </row>
    <row r="43" spans="2:5" hidden="1">
      <c r="B43" s="208" t="s">
        <v>1077</v>
      </c>
      <c r="C43" s="209"/>
      <c r="D43" s="241"/>
      <c r="E43" s="242"/>
    </row>
    <row r="44" spans="2:5" hidden="1">
      <c r="B44" s="208" t="s">
        <v>1078</v>
      </c>
      <c r="C44" s="209"/>
      <c r="D44" s="241"/>
      <c r="E44" s="234"/>
    </row>
    <row r="45" spans="2:5" hidden="1">
      <c r="B45" s="208" t="s">
        <v>1079</v>
      </c>
      <c r="C45" s="209"/>
      <c r="D45" s="243"/>
      <c r="E45" s="234"/>
    </row>
    <row r="46" spans="2:5" hidden="1">
      <c r="B46" s="208"/>
      <c r="C46" s="209"/>
      <c r="D46" s="221"/>
      <c r="E46" s="234"/>
    </row>
    <row r="47" spans="2:5" ht="27.75" hidden="1" thickBot="1">
      <c r="B47" s="244" t="s">
        <v>1080</v>
      </c>
      <c r="C47" s="245" t="s">
        <v>240</v>
      </c>
      <c r="D47" s="216">
        <f>SUM(D41:D45)</f>
        <v>0</v>
      </c>
      <c r="E47" s="246"/>
    </row>
    <row r="48" spans="2:5">
      <c r="B48" s="204"/>
      <c r="C48" s="205"/>
      <c r="D48" s="206" t="str">
        <f>D40</f>
        <v>113年度</v>
      </c>
      <c r="E48" s="207" t="str">
        <f>E40</f>
        <v>112年度</v>
      </c>
    </row>
    <row r="49" spans="1:12">
      <c r="A49" s="202">
        <v>4</v>
      </c>
      <c r="B49" s="235" t="s">
        <v>1081</v>
      </c>
      <c r="C49" s="209"/>
      <c r="D49" s="240">
        <f>E56</f>
        <v>55901057</v>
      </c>
      <c r="E49" s="247">
        <v>58976404</v>
      </c>
    </row>
    <row r="50" spans="1:12">
      <c r="B50" s="208" t="s">
        <v>1082</v>
      </c>
      <c r="C50" s="209" t="s">
        <v>1083</v>
      </c>
      <c r="D50" s="221">
        <v>2388254</v>
      </c>
      <c r="E50" s="248">
        <v>4900825</v>
      </c>
    </row>
    <row r="51" spans="1:12">
      <c r="B51" s="208" t="s">
        <v>1084</v>
      </c>
      <c r="D51" s="249"/>
      <c r="E51" s="250"/>
    </row>
    <row r="52" spans="1:12">
      <c r="B52" s="208" t="s">
        <v>1085</v>
      </c>
      <c r="C52" s="209"/>
      <c r="D52" s="221"/>
      <c r="E52" s="248"/>
    </row>
    <row r="53" spans="1:12">
      <c r="B53" s="208" t="s">
        <v>1086</v>
      </c>
      <c r="C53" s="209" t="s">
        <v>1087</v>
      </c>
      <c r="D53" s="221">
        <v>-3848594</v>
      </c>
      <c r="E53" s="221">
        <v>-7976172</v>
      </c>
    </row>
    <row r="54" spans="1:12">
      <c r="B54" s="208" t="s">
        <v>1088</v>
      </c>
      <c r="C54" s="209"/>
      <c r="D54" s="243"/>
      <c r="E54" s="251"/>
    </row>
    <row r="55" spans="1:12">
      <c r="B55" s="208" t="s">
        <v>1089</v>
      </c>
      <c r="C55" s="209"/>
      <c r="D55" s="221"/>
      <c r="E55" s="248"/>
    </row>
    <row r="56" spans="1:12" ht="27.75" thickBot="1">
      <c r="B56" s="244" t="s">
        <v>1090</v>
      </c>
      <c r="C56" s="245"/>
      <c r="D56" s="216">
        <f>SUM(D49:D55)</f>
        <v>54440717</v>
      </c>
      <c r="E56" s="217">
        <f>E49+E50+E51+E53</f>
        <v>55901057</v>
      </c>
    </row>
    <row r="57" spans="1:12" ht="27.75" thickBot="1"/>
    <row r="58" spans="1:12">
      <c r="B58" s="204"/>
      <c r="C58" s="205"/>
      <c r="D58" s="206" t="str">
        <f>$D$13</f>
        <v>113年度</v>
      </c>
      <c r="E58" s="207" t="str">
        <f>$E$13</f>
        <v>112年度</v>
      </c>
    </row>
    <row r="59" spans="1:12">
      <c r="A59" s="202">
        <v>5</v>
      </c>
      <c r="B59" s="208" t="s">
        <v>1091</v>
      </c>
      <c r="C59" s="209"/>
      <c r="D59" s="221">
        <f>E63</f>
        <v>0</v>
      </c>
      <c r="E59" s="248">
        <v>0</v>
      </c>
      <c r="K59" s="219"/>
      <c r="L59" s="220"/>
    </row>
    <row r="60" spans="1:12">
      <c r="B60" s="208" t="s">
        <v>1092</v>
      </c>
      <c r="C60" s="218" t="s">
        <v>1093</v>
      </c>
      <c r="D60" s="221">
        <v>0</v>
      </c>
      <c r="E60" s="222">
        <v>0</v>
      </c>
    </row>
    <row r="61" spans="1:12">
      <c r="B61" s="208" t="s">
        <v>1094</v>
      </c>
      <c r="C61" s="209" t="s">
        <v>1095</v>
      </c>
      <c r="D61" s="221">
        <v>0</v>
      </c>
      <c r="E61" s="248">
        <v>0</v>
      </c>
    </row>
    <row r="62" spans="1:12">
      <c r="B62" s="208" t="s">
        <v>1084</v>
      </c>
      <c r="C62" s="209"/>
      <c r="D62" s="221"/>
      <c r="E62" s="248">
        <v>0</v>
      </c>
    </row>
    <row r="63" spans="1:12" ht="27.75" thickBot="1">
      <c r="B63" s="208" t="s">
        <v>1096</v>
      </c>
      <c r="C63" s="215"/>
      <c r="D63" s="216">
        <f>SUM(D59:D61)</f>
        <v>0</v>
      </c>
      <c r="E63" s="217">
        <f>E59+E60+E61+E62</f>
        <v>0</v>
      </c>
    </row>
    <row r="64" spans="1:12">
      <c r="B64" s="204"/>
      <c r="C64" s="205"/>
      <c r="D64" s="206" t="str">
        <f>$D$13</f>
        <v>113年度</v>
      </c>
      <c r="E64" s="207" t="str">
        <f>$E$13</f>
        <v>112年度</v>
      </c>
    </row>
    <row r="65" spans="1:12">
      <c r="A65" s="202">
        <v>6</v>
      </c>
      <c r="B65" s="208" t="s">
        <v>1097</v>
      </c>
      <c r="C65" s="209"/>
      <c r="D65" s="221">
        <f>E68</f>
        <v>16825600</v>
      </c>
      <c r="E65" s="222">
        <v>16810600</v>
      </c>
      <c r="K65" s="219"/>
      <c r="L65" s="220"/>
    </row>
    <row r="66" spans="1:12">
      <c r="B66" s="208" t="s">
        <v>1092</v>
      </c>
      <c r="C66" s="218" t="s">
        <v>1098</v>
      </c>
      <c r="D66" s="221">
        <v>0</v>
      </c>
      <c r="E66" s="222">
        <v>0</v>
      </c>
    </row>
    <row r="67" spans="1:12">
      <c r="B67" s="208" t="s">
        <v>1099</v>
      </c>
      <c r="C67" s="218" t="s">
        <v>1100</v>
      </c>
      <c r="D67" s="221">
        <v>0</v>
      </c>
      <c r="E67" s="248">
        <v>15000</v>
      </c>
    </row>
    <row r="68" spans="1:12" ht="27.75" thickBot="1">
      <c r="B68" s="214" t="s">
        <v>1101</v>
      </c>
      <c r="C68" s="215"/>
      <c r="D68" s="216">
        <f>SUM(D65:D67)</f>
        <v>16825600</v>
      </c>
      <c r="E68" s="252">
        <f>E65+E66+E67</f>
        <v>16825600</v>
      </c>
    </row>
    <row r="69" spans="1:12" ht="27.75" thickBot="1">
      <c r="B69" s="253"/>
      <c r="C69" s="254"/>
      <c r="D69" s="255"/>
      <c r="E69" s="256"/>
    </row>
    <row r="70" spans="1:12">
      <c r="A70" s="202">
        <v>7</v>
      </c>
      <c r="B70" s="235"/>
      <c r="D70" s="257" t="str">
        <f>D48</f>
        <v>113年度</v>
      </c>
      <c r="E70" s="258" t="str">
        <f>E48</f>
        <v>112年度</v>
      </c>
    </row>
    <row r="71" spans="1:12">
      <c r="B71" s="208" t="s">
        <v>1102</v>
      </c>
      <c r="C71" s="209"/>
      <c r="D71" s="221">
        <v>0</v>
      </c>
      <c r="E71" s="277">
        <v>0</v>
      </c>
    </row>
    <row r="72" spans="1:12">
      <c r="B72" s="208" t="s">
        <v>1103</v>
      </c>
      <c r="C72" s="209"/>
      <c r="D72" s="259">
        <v>0</v>
      </c>
      <c r="E72" s="277">
        <v>0</v>
      </c>
    </row>
    <row r="73" spans="1:12">
      <c r="B73" s="235" t="s">
        <v>1066</v>
      </c>
      <c r="D73" s="236">
        <f>D71+D72</f>
        <v>0</v>
      </c>
      <c r="E73" s="242">
        <f>E71+E72</f>
        <v>0</v>
      </c>
    </row>
    <row r="74" spans="1:12">
      <c r="B74" s="235"/>
      <c r="E74" s="277"/>
    </row>
    <row r="75" spans="1:12">
      <c r="B75" s="208" t="s">
        <v>1104</v>
      </c>
      <c r="C75" s="209"/>
      <c r="D75" s="221"/>
      <c r="E75" s="277">
        <v>0</v>
      </c>
    </row>
    <row r="76" spans="1:12">
      <c r="B76" s="208" t="s">
        <v>1105</v>
      </c>
      <c r="C76" s="209"/>
      <c r="D76" s="260">
        <v>1596848</v>
      </c>
      <c r="E76" s="277">
        <v>0</v>
      </c>
    </row>
    <row r="77" spans="1:12">
      <c r="B77" s="235" t="s">
        <v>1069</v>
      </c>
      <c r="D77" s="236">
        <f>D75+D76</f>
        <v>1596848</v>
      </c>
      <c r="E77" s="242">
        <f>E75+E76</f>
        <v>0</v>
      </c>
    </row>
    <row r="78" spans="1:12">
      <c r="B78" s="261"/>
      <c r="C78" s="262"/>
      <c r="D78" s="262"/>
      <c r="E78" s="277"/>
    </row>
    <row r="79" spans="1:12" ht="27.75" thickBot="1">
      <c r="B79" s="214" t="s">
        <v>1070</v>
      </c>
      <c r="C79" s="245" t="s">
        <v>241</v>
      </c>
      <c r="D79" s="216">
        <f>D77-D73</f>
        <v>1596848</v>
      </c>
      <c r="E79" s="278">
        <f>E77-E73</f>
        <v>0</v>
      </c>
    </row>
    <row r="80" spans="1:12" ht="27.75" thickBot="1">
      <c r="B80" s="263"/>
      <c r="C80" s="263"/>
      <c r="D80" s="263"/>
      <c r="E80" s="263"/>
    </row>
    <row r="81" spans="1:5">
      <c r="A81" s="202">
        <v>8</v>
      </c>
      <c r="B81" s="264"/>
      <c r="C81" s="265"/>
      <c r="D81" s="269" t="s">
        <v>1125</v>
      </c>
      <c r="E81" s="269" t="s">
        <v>1126</v>
      </c>
    </row>
    <row r="82" spans="1:5">
      <c r="B82" s="270" t="s">
        <v>1107</v>
      </c>
      <c r="C82" s="266"/>
      <c r="D82" s="267">
        <f>E86</f>
        <v>120347</v>
      </c>
      <c r="E82" s="268">
        <v>221615</v>
      </c>
    </row>
    <row r="83" spans="1:5">
      <c r="B83" s="271" t="s">
        <v>1108</v>
      </c>
      <c r="C83" s="266"/>
      <c r="D83" s="267">
        <v>175478</v>
      </c>
      <c r="E83" s="268">
        <v>0</v>
      </c>
    </row>
    <row r="84" spans="1:5">
      <c r="B84" s="271" t="s">
        <v>1109</v>
      </c>
      <c r="C84" s="266"/>
      <c r="D84" s="272">
        <v>-51107</v>
      </c>
      <c r="E84" s="268">
        <v>-101268</v>
      </c>
    </row>
    <row r="85" spans="1:5">
      <c r="B85" s="271" t="s">
        <v>1084</v>
      </c>
      <c r="C85" s="266"/>
      <c r="D85" s="267"/>
      <c r="E85" s="268">
        <v>0</v>
      </c>
    </row>
    <row r="86" spans="1:5" ht="27.75" thickBot="1">
      <c r="B86" s="273" t="s">
        <v>1110</v>
      </c>
      <c r="C86" s="274" t="s">
        <v>1111</v>
      </c>
      <c r="D86" s="275">
        <f>SUM(D82:D84)</f>
        <v>244718</v>
      </c>
      <c r="E86" s="276">
        <f>SUM(E82:E85)</f>
        <v>120347</v>
      </c>
    </row>
    <row r="87" spans="1:5">
      <c r="B87" s="263"/>
      <c r="C87" s="263"/>
      <c r="D87" s="263"/>
      <c r="E87" s="263"/>
    </row>
  </sheetData>
  <phoneticPr fontId="9"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93810-D88F-435F-B4BC-F9A6C5569AED}">
  <sheetPr>
    <tabColor rgb="FFFF0000"/>
  </sheetPr>
  <dimension ref="A1:Z136"/>
  <sheetViews>
    <sheetView topLeftCell="A82" zoomScale="115" zoomScaleNormal="115" workbookViewId="0">
      <selection activeCell="N119" sqref="N119"/>
    </sheetView>
  </sheetViews>
  <sheetFormatPr defaultRowHeight="16.5"/>
  <cols>
    <col min="1" max="1" width="23.625" style="55" customWidth="1"/>
    <col min="2" max="2" width="3.625" customWidth="1"/>
    <col min="3" max="3" width="2.125" customWidth="1"/>
    <col min="4" max="4" width="14.625" style="425" customWidth="1"/>
    <col min="5" max="6" width="2.125" customWidth="1"/>
    <col min="7" max="7" width="14.625" style="425" customWidth="1"/>
    <col min="8" max="8" width="2.125" customWidth="1"/>
    <col min="11" max="11" width="35.25" style="377" customWidth="1"/>
    <col min="12" max="13" width="1.625" customWidth="1"/>
    <col min="14" max="14" width="11.625" style="425" customWidth="1"/>
    <col min="15" max="16" width="1.625" customWidth="1"/>
    <col min="17" max="17" width="11.625" style="447" customWidth="1"/>
    <col min="18" max="18" width="1.625" customWidth="1"/>
    <col min="22" max="22" width="14.625" customWidth="1"/>
    <col min="23" max="23" width="19.75" customWidth="1"/>
    <col min="26" max="26" width="16.375" customWidth="1"/>
  </cols>
  <sheetData>
    <row r="1" spans="1:10" ht="20.100000000000001" customHeight="1">
      <c r="A1" s="349" t="s">
        <v>1995</v>
      </c>
    </row>
    <row r="2" spans="1:10" ht="20.100000000000001" customHeight="1" thickBot="1">
      <c r="A2" s="352"/>
      <c r="B2" s="353"/>
      <c r="C2" s="495" t="s">
        <v>2056</v>
      </c>
      <c r="D2" s="495"/>
      <c r="E2" s="353"/>
      <c r="F2" s="495" t="s">
        <v>1997</v>
      </c>
      <c r="G2" s="495"/>
    </row>
    <row r="3" spans="1:10" ht="20.100000000000001" customHeight="1">
      <c r="A3" s="352" t="s">
        <v>1999</v>
      </c>
      <c r="B3" s="353"/>
      <c r="C3" s="354" t="s">
        <v>7</v>
      </c>
      <c r="D3" s="422">
        <f>BS!C3</f>
        <v>36210</v>
      </c>
      <c r="E3" s="355"/>
      <c r="F3" s="354" t="s">
        <v>7</v>
      </c>
      <c r="G3" s="422">
        <f>TB!C4</f>
        <v>36270</v>
      </c>
      <c r="J3" s="298"/>
    </row>
    <row r="4" spans="1:10" ht="20.100000000000001" customHeight="1" thickBot="1">
      <c r="A4" s="352" t="s">
        <v>2000</v>
      </c>
      <c r="B4" s="353"/>
      <c r="C4" s="354"/>
      <c r="D4" s="423">
        <f>SUM(BS!C4:C9)</f>
        <v>5372373</v>
      </c>
      <c r="E4" s="355"/>
      <c r="F4" s="354"/>
      <c r="G4" s="423">
        <f>SUM(TB!C6:C11)</f>
        <v>7552309</v>
      </c>
    </row>
    <row r="5" spans="1:10" ht="20.100000000000001" customHeight="1" thickBot="1">
      <c r="A5" s="352" t="s">
        <v>2002</v>
      </c>
      <c r="B5" s="353"/>
      <c r="C5" s="359" t="s">
        <v>7</v>
      </c>
      <c r="D5" s="424">
        <f>SUM(D3:D4)</f>
        <v>5408583</v>
      </c>
      <c r="E5" s="355"/>
      <c r="F5" s="359" t="s">
        <v>7</v>
      </c>
      <c r="G5" s="424">
        <f>G3+G4</f>
        <v>7588579</v>
      </c>
    </row>
    <row r="6" spans="1:10" ht="20.100000000000001" customHeight="1" thickTop="1">
      <c r="A6" s="349" t="s">
        <v>2005</v>
      </c>
      <c r="C6" s="298"/>
      <c r="E6" s="298"/>
      <c r="F6" s="298"/>
    </row>
    <row r="7" spans="1:10" ht="20.100000000000001" customHeight="1" thickBot="1">
      <c r="A7" s="352"/>
      <c r="B7" s="353"/>
      <c r="C7" s="497" t="str">
        <f>C2</f>
        <v>一一三年底</v>
      </c>
      <c r="D7" s="497"/>
      <c r="E7" s="362"/>
      <c r="F7" s="497" t="str">
        <f>F2</f>
        <v>一一二年底</v>
      </c>
      <c r="G7" s="497"/>
    </row>
    <row r="8" spans="1:10" ht="20.100000000000001" customHeight="1" thickBot="1">
      <c r="A8" s="352" t="s">
        <v>86</v>
      </c>
      <c r="B8" s="353"/>
      <c r="C8" s="354" t="s">
        <v>7</v>
      </c>
      <c r="D8" s="426">
        <f>BS!C10</f>
        <v>4597726</v>
      </c>
      <c r="E8" s="355"/>
      <c r="F8" s="354" t="s">
        <v>7</v>
      </c>
      <c r="G8" s="427">
        <f>TB!C14</f>
        <v>3205259</v>
      </c>
    </row>
    <row r="9" spans="1:10" ht="20.100000000000001" customHeight="1" thickBot="1">
      <c r="A9" s="352" t="s">
        <v>2002</v>
      </c>
      <c r="B9" s="353"/>
      <c r="C9" s="359" t="s">
        <v>7</v>
      </c>
      <c r="D9" s="424">
        <f>D8</f>
        <v>4597726</v>
      </c>
      <c r="E9" s="355"/>
      <c r="F9" s="359" t="s">
        <v>7</v>
      </c>
      <c r="G9" s="428">
        <f>G8</f>
        <v>3205259</v>
      </c>
    </row>
    <row r="10" spans="1:10" ht="20.100000000000001" customHeight="1" thickTop="1">
      <c r="A10" s="349" t="s">
        <v>2011</v>
      </c>
      <c r="C10" s="298"/>
      <c r="E10" s="298"/>
      <c r="F10" s="298"/>
    </row>
    <row r="11" spans="1:10" ht="20.100000000000001" customHeight="1" thickBot="1">
      <c r="A11" s="352"/>
      <c r="B11" s="353"/>
      <c r="C11" s="497" t="str">
        <f>C2</f>
        <v>一一三年底</v>
      </c>
      <c r="D11" s="497"/>
      <c r="E11" s="362"/>
      <c r="F11" s="497" t="str">
        <f>F2</f>
        <v>一一二年底</v>
      </c>
      <c r="G11" s="497"/>
    </row>
    <row r="12" spans="1:10" ht="20.100000000000001" customHeight="1" thickBot="1">
      <c r="A12" s="352" t="s">
        <v>87</v>
      </c>
      <c r="B12" s="353"/>
      <c r="C12" s="354" t="s">
        <v>7</v>
      </c>
      <c r="D12" s="426">
        <f>BS!C11</f>
        <v>13444980</v>
      </c>
      <c r="E12" s="355"/>
      <c r="F12" s="354" t="s">
        <v>7</v>
      </c>
      <c r="G12" s="426">
        <f>TB!C16</f>
        <v>7243970</v>
      </c>
    </row>
    <row r="13" spans="1:10" ht="20.100000000000001" customHeight="1" thickBot="1">
      <c r="A13" s="352" t="s">
        <v>2002</v>
      </c>
      <c r="B13" s="353"/>
      <c r="C13" s="359" t="s">
        <v>7</v>
      </c>
      <c r="D13" s="424">
        <f>SUM(D12:D12)</f>
        <v>13444980</v>
      </c>
      <c r="E13" s="355"/>
      <c r="F13" s="359" t="s">
        <v>7</v>
      </c>
      <c r="G13" s="424">
        <f>G12</f>
        <v>7243970</v>
      </c>
    </row>
    <row r="14" spans="1:10" ht="20.100000000000001" customHeight="1" thickTop="1">
      <c r="A14" s="352"/>
      <c r="B14" s="353"/>
      <c r="C14" s="354"/>
      <c r="D14" s="423"/>
      <c r="E14" s="355"/>
      <c r="F14" s="354"/>
      <c r="G14" s="427"/>
    </row>
    <row r="15" spans="1:10" ht="20.100000000000001" customHeight="1">
      <c r="A15" s="349" t="s">
        <v>2057</v>
      </c>
      <c r="C15" s="298"/>
      <c r="E15" s="298"/>
      <c r="F15" s="298"/>
    </row>
    <row r="16" spans="1:10" ht="17.25" customHeight="1" thickBot="1">
      <c r="A16" s="352"/>
      <c r="B16" s="353"/>
      <c r="C16" s="497" t="str">
        <f>C2</f>
        <v>一一三年底</v>
      </c>
      <c r="D16" s="497"/>
      <c r="E16" s="362"/>
      <c r="F16" s="497" t="str">
        <f>F2</f>
        <v>一一二年底</v>
      </c>
      <c r="G16" s="497"/>
    </row>
    <row r="17" spans="1:10" ht="20.100000000000001" customHeight="1" thickBot="1">
      <c r="A17" s="352" t="s">
        <v>2058</v>
      </c>
      <c r="B17" s="353"/>
      <c r="C17" s="354" t="s">
        <v>7</v>
      </c>
      <c r="D17" s="426">
        <f>BS!C12</f>
        <v>1028274</v>
      </c>
      <c r="E17" s="355"/>
      <c r="F17" s="354" t="s">
        <v>7</v>
      </c>
      <c r="G17" s="426">
        <f>TB!C22</f>
        <v>1197720</v>
      </c>
    </row>
    <row r="18" spans="1:10" ht="20.100000000000001" customHeight="1" thickBot="1">
      <c r="A18" s="352" t="s">
        <v>2002</v>
      </c>
      <c r="B18" s="353"/>
      <c r="C18" s="359" t="s">
        <v>7</v>
      </c>
      <c r="D18" s="424">
        <f>SUM(D17:D17)</f>
        <v>1028274</v>
      </c>
      <c r="E18" s="355"/>
      <c r="F18" s="359" t="s">
        <v>7</v>
      </c>
      <c r="G18" s="424">
        <f>G17</f>
        <v>1197720</v>
      </c>
    </row>
    <row r="19" spans="1:10" ht="20.100000000000001" customHeight="1" thickTop="1">
      <c r="A19" s="352"/>
      <c r="B19" s="353"/>
      <c r="C19" s="354"/>
      <c r="D19" s="423"/>
      <c r="E19" s="355"/>
      <c r="F19" s="354"/>
      <c r="G19" s="427"/>
    </row>
    <row r="20" spans="1:10" ht="20.100000000000001" customHeight="1">
      <c r="A20" s="349" t="s">
        <v>2059</v>
      </c>
      <c r="B20" s="353"/>
      <c r="C20" s="354"/>
      <c r="D20" s="423"/>
      <c r="E20" s="355"/>
      <c r="F20" s="354"/>
      <c r="G20" s="427"/>
    </row>
    <row r="21" spans="1:10" ht="20.100000000000001" customHeight="1" thickBot="1">
      <c r="A21" s="352"/>
      <c r="B21" s="353"/>
      <c r="C21" s="497" t="str">
        <f>C2</f>
        <v>一一三年底</v>
      </c>
      <c r="D21" s="497"/>
      <c r="E21" s="362"/>
      <c r="F21" s="497" t="str">
        <f>F2</f>
        <v>一一二年底</v>
      </c>
      <c r="G21" s="497"/>
    </row>
    <row r="22" spans="1:10" ht="20.100000000000001" customHeight="1" thickBot="1">
      <c r="A22" s="352" t="s">
        <v>1211</v>
      </c>
      <c r="B22" s="353"/>
      <c r="C22" s="354" t="s">
        <v>7</v>
      </c>
      <c r="D22" s="427">
        <f>BS!C13</f>
        <v>2961265</v>
      </c>
      <c r="E22" s="363"/>
      <c r="F22" s="354" t="s">
        <v>7</v>
      </c>
      <c r="G22" s="423">
        <f>TB!C27</f>
        <v>2450275</v>
      </c>
    </row>
    <row r="23" spans="1:10" ht="20.100000000000001" customHeight="1" thickBot="1">
      <c r="A23" s="352" t="s">
        <v>207</v>
      </c>
      <c r="B23" s="353"/>
      <c r="C23" s="359" t="s">
        <v>7</v>
      </c>
      <c r="D23" s="428">
        <f>SUM(D22:D22)</f>
        <v>2961265</v>
      </c>
      <c r="E23" s="363"/>
      <c r="F23" s="359" t="s">
        <v>7</v>
      </c>
      <c r="G23" s="424">
        <f>G22</f>
        <v>2450275</v>
      </c>
    </row>
    <row r="24" spans="1:10" ht="20.100000000000001" customHeight="1" thickTop="1">
      <c r="C24" s="298"/>
      <c r="E24" s="298"/>
      <c r="F24" s="298"/>
    </row>
    <row r="25" spans="1:10" ht="20.100000000000001" customHeight="1">
      <c r="A25" s="352"/>
      <c r="B25" s="353"/>
      <c r="C25" s="354"/>
      <c r="D25" s="423"/>
      <c r="E25" s="355"/>
      <c r="F25" s="354"/>
      <c r="G25" s="427"/>
    </row>
    <row r="26" spans="1:10" ht="20.100000000000001" customHeight="1">
      <c r="A26" s="349" t="s">
        <v>2060</v>
      </c>
      <c r="C26" s="298"/>
      <c r="E26" s="298"/>
      <c r="F26" s="298"/>
    </row>
    <row r="27" spans="1:10" ht="20.100000000000001" customHeight="1" thickBot="1">
      <c r="A27" s="352"/>
      <c r="B27" s="353"/>
      <c r="C27" s="497" t="str">
        <f>C2</f>
        <v>一一三年底</v>
      </c>
      <c r="D27" s="497"/>
      <c r="E27" s="362"/>
      <c r="F27" s="497" t="str">
        <f>F2</f>
        <v>一一二年底</v>
      </c>
      <c r="G27" s="497"/>
    </row>
    <row r="28" spans="1:10" ht="17.25" customHeight="1">
      <c r="A28" s="352" t="s">
        <v>1218</v>
      </c>
      <c r="B28" s="353"/>
      <c r="C28" s="354" t="s">
        <v>7</v>
      </c>
      <c r="D28" s="423">
        <f>TB!I33</f>
        <v>395327</v>
      </c>
      <c r="E28" s="355"/>
      <c r="F28" s="354" t="s">
        <v>7</v>
      </c>
      <c r="G28" s="423">
        <f>TB!C33</f>
        <v>827848</v>
      </c>
    </row>
    <row r="29" spans="1:10" ht="17.25" customHeight="1">
      <c r="A29" s="352" t="s">
        <v>2062</v>
      </c>
      <c r="B29" s="353"/>
      <c r="C29" s="354"/>
      <c r="D29" s="423" t="s">
        <v>2063</v>
      </c>
      <c r="E29" s="355"/>
      <c r="F29" s="354"/>
      <c r="G29" s="423">
        <f>TB!C37</f>
        <v>509358</v>
      </c>
    </row>
    <row r="30" spans="1:10" ht="17.25" customHeight="1" thickBot="1">
      <c r="A30" s="352" t="s">
        <v>2061</v>
      </c>
      <c r="B30" s="353"/>
      <c r="C30" s="354"/>
      <c r="D30" s="423" t="s">
        <v>2063</v>
      </c>
      <c r="E30" s="355"/>
      <c r="F30" s="354"/>
      <c r="G30" s="423">
        <f>TB!C36</f>
        <v>16888</v>
      </c>
    </row>
    <row r="31" spans="1:10" ht="17.25" customHeight="1" thickBot="1">
      <c r="A31" s="352" t="s">
        <v>2002</v>
      </c>
      <c r="B31" s="353"/>
      <c r="C31" s="359" t="s">
        <v>7</v>
      </c>
      <c r="D31" s="424">
        <f>D28</f>
        <v>395327</v>
      </c>
      <c r="E31" s="355"/>
      <c r="F31" s="359" t="s">
        <v>7</v>
      </c>
      <c r="G31" s="424">
        <f>G28+G30+G29</f>
        <v>1354094</v>
      </c>
    </row>
    <row r="32" spans="1:10" ht="17.25" thickTop="1">
      <c r="A32" s="352"/>
      <c r="B32" s="353"/>
      <c r="C32" s="354"/>
      <c r="D32" s="423"/>
      <c r="E32" s="355"/>
      <c r="F32" s="354"/>
      <c r="G32" s="423"/>
      <c r="J32" s="298"/>
    </row>
    <row r="34" spans="1:8">
      <c r="A34" s="352"/>
      <c r="B34" s="353"/>
      <c r="C34" s="354"/>
      <c r="D34" s="423"/>
      <c r="E34" s="355"/>
      <c r="F34" s="354"/>
      <c r="G34" s="423"/>
    </row>
    <row r="35" spans="1:8">
      <c r="A35" s="349" t="s">
        <v>2064</v>
      </c>
      <c r="B35" s="353"/>
      <c r="C35" s="354"/>
      <c r="D35" s="427"/>
      <c r="E35" s="363"/>
      <c r="F35" s="354"/>
      <c r="G35" s="427"/>
    </row>
    <row r="36" spans="1:8" ht="17.25" customHeight="1" thickBot="1">
      <c r="B36" s="353"/>
      <c r="C36" s="497" t="str">
        <f>C2</f>
        <v>一一三年底</v>
      </c>
      <c r="D36" s="497"/>
      <c r="E36" s="362"/>
      <c r="F36" s="497" t="str">
        <f>F2</f>
        <v>一一二年底</v>
      </c>
      <c r="G36" s="497"/>
    </row>
    <row r="37" spans="1:8">
      <c r="A37" s="352" t="s">
        <v>2065</v>
      </c>
      <c r="B37" s="353"/>
      <c r="C37" s="356" t="s">
        <v>7</v>
      </c>
      <c r="D37" s="423">
        <f>TB!I79</f>
        <v>479288</v>
      </c>
      <c r="E37" s="353"/>
      <c r="F37" s="356" t="s">
        <v>7</v>
      </c>
      <c r="G37" s="423">
        <f>TB!C79</f>
        <v>303810</v>
      </c>
    </row>
    <row r="38" spans="1:8" ht="17.25" thickBot="1">
      <c r="A38" s="352" t="s">
        <v>2066</v>
      </c>
      <c r="B38" s="353"/>
      <c r="C38" s="356"/>
      <c r="D38" s="439">
        <f>-TB!J80</f>
        <v>-234570</v>
      </c>
      <c r="E38" s="353"/>
      <c r="F38" s="356"/>
      <c r="G38" s="439">
        <f>-TB!D80</f>
        <v>-183463</v>
      </c>
    </row>
    <row r="39" spans="1:8" ht="17.25" thickBot="1">
      <c r="A39" s="352" t="s">
        <v>207</v>
      </c>
      <c r="B39" s="353"/>
      <c r="C39" s="378" t="s">
        <v>7</v>
      </c>
      <c r="D39" s="424">
        <f>D37+D38</f>
        <v>244718</v>
      </c>
      <c r="E39" s="353"/>
      <c r="F39" s="378" t="s">
        <v>7</v>
      </c>
      <c r="G39" s="424">
        <f>G37+G38</f>
        <v>120347</v>
      </c>
    </row>
    <row r="40" spans="1:8" ht="17.25" thickTop="1">
      <c r="A40" s="352"/>
      <c r="B40" s="353"/>
      <c r="C40" s="354"/>
      <c r="D40" s="427"/>
      <c r="E40" s="363"/>
      <c r="F40" s="354"/>
      <c r="G40" s="427"/>
      <c r="H40" s="353"/>
    </row>
    <row r="41" spans="1:8">
      <c r="A41" s="352"/>
      <c r="B41" s="353"/>
      <c r="C41" s="354"/>
      <c r="D41" s="427"/>
      <c r="E41" s="363"/>
      <c r="F41" s="354"/>
      <c r="G41" s="427"/>
      <c r="H41" s="356"/>
    </row>
    <row r="42" spans="1:8">
      <c r="A42" s="349" t="s">
        <v>2068</v>
      </c>
      <c r="C42" s="298"/>
      <c r="E42" s="298"/>
      <c r="F42" s="298"/>
      <c r="H42" s="356"/>
    </row>
    <row r="43" spans="1:8" ht="17.25" thickBot="1">
      <c r="A43" s="352"/>
      <c r="B43" s="353"/>
      <c r="C43" s="497" t="str">
        <f>C2</f>
        <v>一一三年底</v>
      </c>
      <c r="D43" s="497"/>
      <c r="E43" s="362"/>
      <c r="F43" s="497" t="str">
        <f>F2</f>
        <v>一一二年底</v>
      </c>
      <c r="G43" s="497"/>
    </row>
    <row r="44" spans="1:8" ht="17.25" customHeight="1" thickBot="1">
      <c r="A44" s="352" t="s">
        <v>2067</v>
      </c>
      <c r="B44" s="353"/>
      <c r="C44" s="354" t="s">
        <v>7</v>
      </c>
      <c r="D44" s="423">
        <f>BS!C35</f>
        <v>16825600</v>
      </c>
      <c r="E44" s="355"/>
      <c r="F44" s="354" t="s">
        <v>7</v>
      </c>
      <c r="G44" s="426">
        <f>TB!C100</f>
        <v>16825600</v>
      </c>
    </row>
    <row r="45" spans="1:8" ht="17.25" thickBot="1">
      <c r="A45" s="352" t="s">
        <v>2002</v>
      </c>
      <c r="B45" s="353"/>
      <c r="C45" s="359" t="s">
        <v>7</v>
      </c>
      <c r="D45" s="424">
        <f>SUM(D44:D44)</f>
        <v>16825600</v>
      </c>
      <c r="E45" s="355"/>
      <c r="F45" s="359" t="s">
        <v>7</v>
      </c>
      <c r="G45" s="424">
        <f>G44</f>
        <v>16825600</v>
      </c>
    </row>
    <row r="46" spans="1:8" ht="17.25" thickTop="1">
      <c r="C46" s="298"/>
      <c r="E46" s="298"/>
      <c r="F46" s="298"/>
    </row>
    <row r="47" spans="1:8">
      <c r="A47" s="349" t="s">
        <v>2083</v>
      </c>
      <c r="C47" s="298"/>
      <c r="E47" s="298"/>
      <c r="F47" s="298"/>
    </row>
    <row r="48" spans="1:8" ht="17.25" thickBot="1">
      <c r="A48" s="352"/>
      <c r="B48" s="353"/>
      <c r="C48" s="497" t="str">
        <f>C2</f>
        <v>一一三年底</v>
      </c>
      <c r="D48" s="497"/>
      <c r="E48" s="362"/>
      <c r="F48" s="497" t="str">
        <f>F2</f>
        <v>一一二年底</v>
      </c>
      <c r="G48" s="497"/>
    </row>
    <row r="49" spans="1:26" ht="17.25" thickBot="1">
      <c r="A49" s="352" t="s">
        <v>180</v>
      </c>
      <c r="B49" s="353"/>
      <c r="C49" s="354" t="s">
        <v>7</v>
      </c>
      <c r="D49" s="427">
        <f>BS!C36</f>
        <v>1596848</v>
      </c>
      <c r="E49" s="355"/>
      <c r="F49" s="354" t="s">
        <v>7</v>
      </c>
      <c r="G49" s="426" t="s">
        <v>2008</v>
      </c>
    </row>
    <row r="50" spans="1:26" ht="17.25" thickBot="1">
      <c r="A50" s="352" t="s">
        <v>2002</v>
      </c>
      <c r="B50" s="353"/>
      <c r="C50" s="359" t="s">
        <v>7</v>
      </c>
      <c r="D50" s="428">
        <f>D49</f>
        <v>1596848</v>
      </c>
      <c r="E50" s="355"/>
      <c r="F50" s="359" t="s">
        <v>7</v>
      </c>
      <c r="G50" s="424" t="str">
        <f>G49</f>
        <v>–</v>
      </c>
    </row>
    <row r="51" spans="1:26" ht="17.25" thickTop="1">
      <c r="A51" s="352"/>
      <c r="B51" s="353"/>
      <c r="C51" s="354"/>
      <c r="D51" s="427"/>
      <c r="E51" s="355"/>
      <c r="F51" s="354"/>
      <c r="G51" s="423"/>
    </row>
    <row r="52" spans="1:26">
      <c r="A52" s="349" t="s">
        <v>2084</v>
      </c>
      <c r="C52" s="298"/>
      <c r="E52" s="298"/>
      <c r="F52" s="298"/>
    </row>
    <row r="53" spans="1:26" ht="17.25" thickBot="1">
      <c r="A53" s="352"/>
      <c r="B53" s="353"/>
      <c r="C53" s="497" t="str">
        <f>C2</f>
        <v>一一三年底</v>
      </c>
      <c r="D53" s="497"/>
      <c r="E53" s="362"/>
      <c r="F53" s="497" t="str">
        <f>F2</f>
        <v>一一二年底</v>
      </c>
      <c r="G53" s="497"/>
    </row>
    <row r="54" spans="1:26" ht="17.25" customHeight="1" thickBot="1">
      <c r="A54" s="352" t="s">
        <v>2069</v>
      </c>
      <c r="B54" s="353"/>
      <c r="C54" s="354" t="s">
        <v>7</v>
      </c>
      <c r="D54" s="427">
        <f>BS!G5</f>
        <v>311654</v>
      </c>
      <c r="E54" s="355"/>
      <c r="F54" s="354" t="s">
        <v>7</v>
      </c>
      <c r="G54" s="426">
        <v>2455819</v>
      </c>
    </row>
    <row r="55" spans="1:26" ht="17.25" customHeight="1" thickBot="1">
      <c r="A55" s="352" t="s">
        <v>2002</v>
      </c>
      <c r="B55" s="353"/>
      <c r="C55" s="359" t="s">
        <v>7</v>
      </c>
      <c r="D55" s="428">
        <f>D54</f>
        <v>311654</v>
      </c>
      <c r="E55" s="355"/>
      <c r="F55" s="359" t="s">
        <v>7</v>
      </c>
      <c r="G55" s="424">
        <f>G54</f>
        <v>2455819</v>
      </c>
    </row>
    <row r="56" spans="1:26" ht="17.25" customHeight="1" thickTop="1">
      <c r="A56" s="352"/>
      <c r="B56" s="353"/>
      <c r="C56" s="354"/>
      <c r="D56" s="427"/>
      <c r="E56" s="355"/>
      <c r="F56" s="354"/>
      <c r="G56" s="423"/>
    </row>
    <row r="57" spans="1:26">
      <c r="A57" s="349" t="s">
        <v>2085</v>
      </c>
      <c r="C57" s="298"/>
      <c r="E57" s="298"/>
      <c r="F57" s="298"/>
    </row>
    <row r="58" spans="1:26" ht="17.25" thickBot="1">
      <c r="A58" s="352"/>
      <c r="B58" s="353"/>
      <c r="C58" s="497" t="str">
        <f>C2</f>
        <v>一一三年底</v>
      </c>
      <c r="D58" s="497"/>
      <c r="E58" s="362"/>
      <c r="F58" s="497" t="str">
        <f>F2</f>
        <v>一一二年底</v>
      </c>
      <c r="G58" s="497"/>
    </row>
    <row r="59" spans="1:26" ht="17.25" customHeight="1" thickBot="1">
      <c r="A59" s="352" t="s">
        <v>130</v>
      </c>
      <c r="B59" s="353"/>
      <c r="C59" s="354" t="s">
        <v>7</v>
      </c>
      <c r="D59" s="427">
        <f>BS!G6</f>
        <v>4339539</v>
      </c>
      <c r="E59" s="355"/>
      <c r="F59" s="354" t="s">
        <v>7</v>
      </c>
      <c r="G59" s="426">
        <f>TB!D117</f>
        <v>5966576</v>
      </c>
    </row>
    <row r="60" spans="1:26" ht="17.25" customHeight="1" thickBot="1">
      <c r="A60" s="352" t="s">
        <v>2002</v>
      </c>
      <c r="B60" s="353"/>
      <c r="C60" s="359" t="s">
        <v>7</v>
      </c>
      <c r="D60" s="428">
        <f>D59</f>
        <v>4339539</v>
      </c>
      <c r="E60" s="355"/>
      <c r="F60" s="359" t="s">
        <v>7</v>
      </c>
      <c r="G60" s="424">
        <f>G59</f>
        <v>5966576</v>
      </c>
    </row>
    <row r="61" spans="1:26" ht="17.25" customHeight="1" thickTop="1">
      <c r="A61" s="352"/>
      <c r="B61" s="353"/>
      <c r="C61" s="354"/>
      <c r="D61" s="427"/>
      <c r="E61" s="355"/>
      <c r="F61" s="354"/>
      <c r="G61" s="423"/>
    </row>
    <row r="62" spans="1:26">
      <c r="A62" s="349" t="s">
        <v>2087</v>
      </c>
      <c r="C62" s="298"/>
      <c r="E62" s="298"/>
      <c r="F62" s="298"/>
      <c r="V62" s="417"/>
      <c r="W62" s="418"/>
    </row>
    <row r="63" spans="1:26" ht="17.25" thickBot="1">
      <c r="A63" s="352"/>
      <c r="B63" s="353"/>
      <c r="C63" s="497" t="str">
        <f>C2</f>
        <v>一一三年底</v>
      </c>
      <c r="D63" s="497"/>
      <c r="E63" s="362"/>
      <c r="F63" s="497" t="str">
        <f>F2</f>
        <v>一一二年底</v>
      </c>
      <c r="G63" s="497"/>
      <c r="V63" s="417"/>
      <c r="W63" s="418"/>
      <c r="Z63" s="352"/>
    </row>
    <row r="64" spans="1:26">
      <c r="A64" s="352" t="s">
        <v>2070</v>
      </c>
      <c r="B64" s="353"/>
      <c r="C64" s="354" t="s">
        <v>7</v>
      </c>
      <c r="D64" s="423">
        <f>BS!G8+BS!G10+BS!G11-D66-D67</f>
        <v>7663138</v>
      </c>
      <c r="E64" s="355"/>
      <c r="F64" s="354" t="s">
        <v>7</v>
      </c>
      <c r="G64" s="426">
        <v>6571432</v>
      </c>
      <c r="V64" s="417"/>
      <c r="W64" s="418"/>
      <c r="Z64" s="352"/>
    </row>
    <row r="65" spans="1:26">
      <c r="A65" s="352" t="s">
        <v>1306</v>
      </c>
      <c r="B65" s="353"/>
      <c r="C65" s="311"/>
      <c r="D65" s="423">
        <f>BS!G9</f>
        <v>3012320</v>
      </c>
      <c r="E65" s="362"/>
      <c r="F65" s="311"/>
      <c r="G65" s="423">
        <v>1673855</v>
      </c>
      <c r="V65" s="417"/>
      <c r="W65" s="418"/>
      <c r="Z65" s="352"/>
    </row>
    <row r="66" spans="1:26">
      <c r="A66" s="352" t="s">
        <v>2071</v>
      </c>
      <c r="B66" s="353"/>
      <c r="C66" s="311"/>
      <c r="D66" s="427">
        <v>298109</v>
      </c>
      <c r="E66" s="362"/>
      <c r="F66" s="311"/>
      <c r="G66" s="423">
        <v>234524</v>
      </c>
      <c r="V66" s="417"/>
      <c r="W66" s="418"/>
      <c r="Z66" s="352"/>
    </row>
    <row r="67" spans="1:26" ht="17.25" thickBot="1">
      <c r="A67" s="352" t="s">
        <v>2072</v>
      </c>
      <c r="B67" s="353"/>
      <c r="C67" s="354"/>
      <c r="D67" s="423">
        <v>138441</v>
      </c>
      <c r="E67" s="355"/>
      <c r="F67" s="354"/>
      <c r="G67" s="423">
        <v>124003</v>
      </c>
      <c r="V67" s="417"/>
      <c r="W67" s="418"/>
      <c r="Z67" s="352"/>
    </row>
    <row r="68" spans="1:26" ht="17.25" thickBot="1">
      <c r="A68" s="352" t="s">
        <v>207</v>
      </c>
      <c r="B68" s="353"/>
      <c r="C68" s="359" t="s">
        <v>7</v>
      </c>
      <c r="D68" s="424">
        <f>SUM(D64:D67)</f>
        <v>11112008</v>
      </c>
      <c r="E68" s="355"/>
      <c r="F68" s="359" t="s">
        <v>7</v>
      </c>
      <c r="G68" s="424">
        <f>SUM(G64:G67)</f>
        <v>8603814</v>
      </c>
      <c r="V68" s="417"/>
      <c r="W68" s="418"/>
    </row>
    <row r="69" spans="1:26" ht="17.25" thickTop="1">
      <c r="A69" s="352"/>
      <c r="B69" s="353"/>
      <c r="C69" s="354"/>
      <c r="D69" s="423"/>
      <c r="E69" s="355"/>
      <c r="F69" s="354"/>
      <c r="G69" s="423"/>
    </row>
    <row r="70" spans="1:26">
      <c r="A70" s="349" t="s">
        <v>2073</v>
      </c>
      <c r="C70" s="298"/>
      <c r="E70" s="298"/>
      <c r="F70" s="298"/>
    </row>
    <row r="71" spans="1:26" ht="18" customHeight="1" thickBot="1">
      <c r="A71" s="352"/>
      <c r="B71" s="353"/>
      <c r="C71" s="497" t="str">
        <f>C2</f>
        <v>一一三年底</v>
      </c>
      <c r="D71" s="497"/>
      <c r="E71" s="362"/>
      <c r="F71" s="497" t="str">
        <f>F2</f>
        <v>一一二年底</v>
      </c>
      <c r="G71" s="497"/>
    </row>
    <row r="72" spans="1:26" ht="18" customHeight="1" thickBot="1">
      <c r="A72" s="352" t="s">
        <v>2074</v>
      </c>
      <c r="B72" s="353"/>
      <c r="C72" s="354" t="s">
        <v>7</v>
      </c>
      <c r="D72" s="427">
        <f>BS!G14</f>
        <v>207418</v>
      </c>
      <c r="E72" s="355"/>
      <c r="F72" s="354" t="s">
        <v>7</v>
      </c>
      <c r="G72" s="426">
        <v>111363</v>
      </c>
    </row>
    <row r="73" spans="1:26" ht="18" customHeight="1" thickBot="1">
      <c r="A73" s="352" t="s">
        <v>2002</v>
      </c>
      <c r="B73" s="353"/>
      <c r="C73" s="359" t="s">
        <v>7</v>
      </c>
      <c r="D73" s="428">
        <f>D72</f>
        <v>207418</v>
      </c>
      <c r="E73" s="355"/>
      <c r="F73" s="359" t="s">
        <v>7</v>
      </c>
      <c r="G73" s="424">
        <f>G72</f>
        <v>111363</v>
      </c>
    </row>
    <row r="74" spans="1:26" ht="18" customHeight="1" thickTop="1">
      <c r="A74" s="352"/>
      <c r="B74" s="353"/>
      <c r="C74" s="354"/>
      <c r="D74" s="427"/>
      <c r="E74" s="355"/>
      <c r="F74" s="354"/>
      <c r="G74" s="423"/>
    </row>
    <row r="75" spans="1:26" ht="18" customHeight="1">
      <c r="A75" s="349" t="s">
        <v>2080</v>
      </c>
      <c r="C75" s="298"/>
      <c r="E75" s="298"/>
      <c r="F75" s="298"/>
    </row>
    <row r="76" spans="1:26" ht="18" customHeight="1" thickBot="1">
      <c r="A76" s="353"/>
      <c r="B76" s="353"/>
      <c r="C76" s="497" t="str">
        <f>C2</f>
        <v>一一三年底</v>
      </c>
      <c r="D76" s="497"/>
      <c r="E76" s="362"/>
      <c r="F76" s="497" t="str">
        <f>F2</f>
        <v>一一二年底</v>
      </c>
      <c r="G76" s="497"/>
    </row>
    <row r="77" spans="1:26" ht="18" customHeight="1">
      <c r="A77" s="2" t="s">
        <v>2075</v>
      </c>
      <c r="B77" s="353"/>
      <c r="C77" s="356" t="s">
        <v>7</v>
      </c>
      <c r="D77" s="423">
        <f>BS!G4+BS!G17</f>
        <v>28302613</v>
      </c>
      <c r="E77" s="353"/>
      <c r="F77" s="356" t="s">
        <v>7</v>
      </c>
      <c r="G77" s="423">
        <f>TB!D112+TB!D153</f>
        <v>22006664</v>
      </c>
    </row>
    <row r="78" spans="1:26" ht="18" customHeight="1" thickBot="1">
      <c r="A78" s="352" t="s">
        <v>2022</v>
      </c>
      <c r="B78" s="353"/>
      <c r="C78" s="356"/>
      <c r="D78" s="445">
        <f>-BS!G4</f>
        <v>-6701448</v>
      </c>
      <c r="E78" s="448"/>
      <c r="F78" s="445"/>
      <c r="G78" s="439">
        <f>-TB!D112</f>
        <v>-2594200</v>
      </c>
    </row>
    <row r="79" spans="1:26" ht="17.25" thickBot="1">
      <c r="A79" s="352" t="s">
        <v>2076</v>
      </c>
      <c r="B79" s="353"/>
      <c r="C79" s="378" t="s">
        <v>7</v>
      </c>
      <c r="D79" s="424">
        <f>SUM(D77:D78)</f>
        <v>21601165</v>
      </c>
      <c r="E79" s="353"/>
      <c r="F79" s="379" t="s">
        <v>7</v>
      </c>
      <c r="G79" s="424">
        <f>G77+G78</f>
        <v>19412464</v>
      </c>
      <c r="H79" s="352"/>
    </row>
    <row r="80" spans="1:26" ht="17.25" thickTop="1">
      <c r="A80" s="352" t="s">
        <v>2078</v>
      </c>
      <c r="B80" s="353"/>
      <c r="C80" s="356"/>
      <c r="D80" s="430" t="s">
        <v>2086</v>
      </c>
      <c r="E80" s="353"/>
      <c r="F80" s="356"/>
      <c r="G80" s="423" t="s">
        <v>2077</v>
      </c>
      <c r="H80" s="356"/>
    </row>
    <row r="81" spans="1:8">
      <c r="A81" s="352"/>
      <c r="B81" s="353"/>
      <c r="C81" s="354"/>
      <c r="D81" s="423"/>
      <c r="E81" s="355"/>
      <c r="F81" s="354"/>
      <c r="G81" s="432"/>
      <c r="H81" s="367"/>
    </row>
    <row r="82" spans="1:8">
      <c r="A82" s="349" t="s">
        <v>2081</v>
      </c>
      <c r="C82" s="298"/>
      <c r="E82" s="298"/>
      <c r="F82" s="298"/>
      <c r="H82" s="367"/>
    </row>
    <row r="83" spans="1:8" ht="17.25" customHeight="1" thickBot="1">
      <c r="A83" s="352"/>
      <c r="B83" s="353"/>
      <c r="C83" s="497" t="str">
        <f>C2</f>
        <v>一一三年底</v>
      </c>
      <c r="D83" s="497"/>
      <c r="E83" s="362"/>
      <c r="F83" s="497" t="str">
        <f>F2</f>
        <v>一一二年底</v>
      </c>
      <c r="G83" s="497"/>
      <c r="H83" s="356"/>
    </row>
    <row r="84" spans="1:8" ht="17.25" thickBot="1">
      <c r="A84" s="352" t="s">
        <v>2079</v>
      </c>
      <c r="B84" s="353"/>
      <c r="C84" s="354" t="s">
        <v>7</v>
      </c>
      <c r="D84" s="423">
        <f>TB!J175</f>
        <v>1400000</v>
      </c>
      <c r="E84" s="355"/>
      <c r="F84" s="354" t="s">
        <v>7</v>
      </c>
      <c r="G84" s="423">
        <f>TB!D175</f>
        <v>1400000</v>
      </c>
      <c r="H84" s="356"/>
    </row>
    <row r="85" spans="1:8" ht="17.25" thickBot="1">
      <c r="A85" s="352" t="s">
        <v>207</v>
      </c>
      <c r="B85" s="353"/>
      <c r="C85" s="359" t="s">
        <v>7</v>
      </c>
      <c r="D85" s="424">
        <f>SUM(D84:D84)</f>
        <v>1400000</v>
      </c>
      <c r="E85" s="355"/>
      <c r="F85" s="359" t="s">
        <v>7</v>
      </c>
      <c r="G85" s="424">
        <f>G84</f>
        <v>1400000</v>
      </c>
    </row>
    <row r="86" spans="1:8" ht="17.25" thickTop="1">
      <c r="C86" s="298"/>
      <c r="E86" s="298"/>
      <c r="F86" s="298"/>
    </row>
    <row r="89" spans="1:8" hidden="1">
      <c r="A89" s="381" t="s">
        <v>2028</v>
      </c>
      <c r="C89" s="298"/>
      <c r="E89" s="298"/>
      <c r="F89" s="298"/>
    </row>
    <row r="90" spans="1:8" ht="17.25" hidden="1" thickBot="1">
      <c r="A90" s="352"/>
      <c r="B90" s="353"/>
      <c r="C90" s="497" t="str">
        <f>C2</f>
        <v>一一三年底</v>
      </c>
      <c r="D90" s="497"/>
      <c r="E90" s="362"/>
      <c r="F90" s="497" t="str">
        <f>F2</f>
        <v>一一二年底</v>
      </c>
      <c r="G90" s="497"/>
    </row>
    <row r="91" spans="1:8" hidden="1">
      <c r="A91" s="352" t="s">
        <v>1714</v>
      </c>
      <c r="B91" s="353"/>
      <c r="C91" s="354" t="s">
        <v>7</v>
      </c>
      <c r="D91" s="423">
        <f>[1]TB!I61</f>
        <v>22582000</v>
      </c>
      <c r="E91" s="355"/>
      <c r="F91" s="354" t="s">
        <v>7</v>
      </c>
      <c r="G91" s="423">
        <v>22582000</v>
      </c>
    </row>
    <row r="92" spans="1:8" ht="17.25" hidden="1" thickBot="1">
      <c r="A92" s="352" t="s">
        <v>2029</v>
      </c>
      <c r="B92" s="353"/>
      <c r="C92" s="366"/>
      <c r="D92" s="429">
        <f>[1]TB!I65-[1]TB!J66</f>
        <v>8656583</v>
      </c>
      <c r="E92" s="355"/>
      <c r="F92" s="366"/>
      <c r="G92" s="429">
        <v>8841421</v>
      </c>
    </row>
    <row r="93" spans="1:8" ht="17.25" hidden="1" thickBot="1">
      <c r="A93" s="352" t="s">
        <v>207</v>
      </c>
      <c r="B93" s="353"/>
      <c r="C93" s="382" t="s">
        <v>7</v>
      </c>
      <c r="D93" s="431">
        <f>D91+D92</f>
        <v>31238583</v>
      </c>
      <c r="E93" s="355"/>
      <c r="F93" s="382" t="s">
        <v>7</v>
      </c>
      <c r="G93" s="431">
        <f>G91+G92</f>
        <v>31423421</v>
      </c>
    </row>
    <row r="94" spans="1:8" hidden="1"/>
    <row r="95" spans="1:8" ht="17.25" hidden="1" thickBot="1">
      <c r="A95" s="353"/>
      <c r="B95" s="353"/>
      <c r="C95" s="497" t="s">
        <v>1997</v>
      </c>
      <c r="D95" s="497"/>
      <c r="E95" s="362"/>
      <c r="F95" s="497" t="s">
        <v>1998</v>
      </c>
      <c r="G95" s="497"/>
    </row>
    <row r="96" spans="1:8" hidden="1">
      <c r="A96" s="352" t="s">
        <v>1794</v>
      </c>
      <c r="B96" s="353"/>
      <c r="C96" s="356" t="s">
        <v>7</v>
      </c>
      <c r="D96" s="426">
        <f>[2]當期損益表!C4</f>
        <v>218352933</v>
      </c>
      <c r="E96" s="353"/>
      <c r="F96" s="356" t="s">
        <v>7</v>
      </c>
      <c r="G96" s="426">
        <v>146907596</v>
      </c>
    </row>
    <row r="97" spans="1:18" hidden="1">
      <c r="A97" s="352" t="s">
        <v>1795</v>
      </c>
      <c r="B97" s="353"/>
      <c r="C97" s="356"/>
      <c r="D97" s="423">
        <f>[2]當期損益表!C5</f>
        <v>3571428</v>
      </c>
      <c r="E97" s="353"/>
      <c r="F97" s="356"/>
      <c r="G97" s="423">
        <v>3600000</v>
      </c>
    </row>
    <row r="98" spans="1:18" hidden="1">
      <c r="A98" s="352" t="s">
        <v>2023</v>
      </c>
      <c r="B98" s="353"/>
      <c r="C98" s="356" t="s">
        <v>2017</v>
      </c>
      <c r="D98" s="423">
        <f>[2]當期損益表!C6</f>
        <v>-9305</v>
      </c>
      <c r="E98" s="353" t="s">
        <v>2024</v>
      </c>
      <c r="F98" s="356"/>
      <c r="G98" s="423">
        <v>49419</v>
      </c>
      <c r="H98" s="352"/>
    </row>
    <row r="99" spans="1:18" hidden="1">
      <c r="A99" s="352" t="s">
        <v>2025</v>
      </c>
      <c r="B99" s="353"/>
      <c r="C99" s="356" t="s">
        <v>2017</v>
      </c>
      <c r="D99" s="423">
        <f>[2]當期損益表!C7</f>
        <v>-293769</v>
      </c>
      <c r="E99" s="353" t="s">
        <v>2024</v>
      </c>
      <c r="F99" s="356" t="s">
        <v>2004</v>
      </c>
      <c r="G99" s="423">
        <v>73963</v>
      </c>
      <c r="H99" s="356"/>
    </row>
    <row r="100" spans="1:18" ht="17.25" hidden="1" thickBot="1">
      <c r="A100" s="352" t="s">
        <v>2002</v>
      </c>
      <c r="B100" s="353"/>
      <c r="C100" s="378" t="s">
        <v>7</v>
      </c>
      <c r="D100" s="424">
        <f>SUM(D96:D99)</f>
        <v>221621287</v>
      </c>
      <c r="E100" s="353"/>
      <c r="F100" s="378" t="s">
        <v>7</v>
      </c>
      <c r="G100" s="424">
        <v>150384214</v>
      </c>
      <c r="H100" s="375"/>
    </row>
    <row r="101" spans="1:18" hidden="1">
      <c r="A101" s="352"/>
      <c r="B101" s="353"/>
      <c r="C101" s="356"/>
      <c r="D101" s="423"/>
      <c r="E101" s="353"/>
      <c r="F101" s="356"/>
      <c r="G101" s="423"/>
      <c r="H101" s="375"/>
    </row>
    <row r="102" spans="1:18" hidden="1">
      <c r="A102" s="380" t="s">
        <v>2026</v>
      </c>
      <c r="C102" s="298"/>
      <c r="E102" s="298"/>
      <c r="F102" s="298"/>
      <c r="H102" s="367" t="s">
        <v>38</v>
      </c>
    </row>
    <row r="103" spans="1:18" ht="17.25" hidden="1" thickBot="1">
      <c r="A103" s="352"/>
      <c r="B103" s="353"/>
      <c r="C103" s="497" t="s">
        <v>1997</v>
      </c>
      <c r="D103" s="497"/>
      <c r="E103" s="362"/>
      <c r="F103" s="497" t="s">
        <v>1998</v>
      </c>
      <c r="G103" s="497"/>
      <c r="H103" s="356"/>
    </row>
    <row r="104" spans="1:18" hidden="1">
      <c r="A104" s="352" t="s">
        <v>88</v>
      </c>
      <c r="B104" s="353"/>
      <c r="C104" s="354" t="s">
        <v>7</v>
      </c>
      <c r="D104" s="423"/>
      <c r="E104" s="355"/>
      <c r="F104" s="354" t="s">
        <v>7</v>
      </c>
      <c r="G104" s="427"/>
      <c r="H104" s="356"/>
    </row>
    <row r="105" spans="1:18" hidden="1">
      <c r="A105" s="352" t="s">
        <v>2027</v>
      </c>
      <c r="B105" s="353"/>
      <c r="C105" s="354"/>
      <c r="D105" s="427"/>
      <c r="E105" s="355"/>
      <c r="F105" s="354"/>
      <c r="G105" s="423"/>
    </row>
    <row r="106" spans="1:18" ht="17.25" hidden="1" thickBot="1">
      <c r="A106" s="352" t="s">
        <v>2002</v>
      </c>
      <c r="B106" s="353"/>
      <c r="C106" s="359" t="s">
        <v>7</v>
      </c>
      <c r="D106" s="428"/>
      <c r="E106" s="355"/>
      <c r="F106" s="359" t="s">
        <v>7</v>
      </c>
      <c r="G106" s="428"/>
    </row>
    <row r="107" spans="1:18" hidden="1">
      <c r="C107" s="298"/>
      <c r="E107" s="298"/>
      <c r="F107" s="298"/>
    </row>
    <row r="108" spans="1:18" hidden="1"/>
    <row r="109" spans="1:18">
      <c r="K109" s="350" t="s">
        <v>1996</v>
      </c>
      <c r="L109" s="351"/>
      <c r="M109" s="351"/>
      <c r="N109" s="440"/>
      <c r="O109" s="351"/>
      <c r="P109" s="351"/>
      <c r="Q109" s="444"/>
      <c r="R109" s="351"/>
    </row>
    <row r="110" spans="1:18">
      <c r="K110" s="496" t="s">
        <v>2088</v>
      </c>
      <c r="L110" s="496"/>
      <c r="M110" s="496"/>
      <c r="N110" s="496"/>
      <c r="O110" s="496"/>
      <c r="P110" s="496"/>
      <c r="Q110" s="496"/>
      <c r="R110" s="496"/>
    </row>
    <row r="111" spans="1:18" ht="17.25" thickBot="1">
      <c r="K111" s="353"/>
      <c r="L111" s="353"/>
      <c r="M111" s="495" t="str">
        <f>C2</f>
        <v>一一三年底</v>
      </c>
      <c r="N111" s="495"/>
      <c r="O111" s="352"/>
      <c r="P111" s="495" t="str">
        <f>F2</f>
        <v>一一二年底</v>
      </c>
      <c r="Q111" s="495"/>
      <c r="R111" s="353"/>
    </row>
    <row r="112" spans="1:18">
      <c r="K112" s="352" t="s">
        <v>2001</v>
      </c>
      <c r="L112" s="356"/>
      <c r="M112" s="357" t="s">
        <v>7</v>
      </c>
      <c r="N112" s="534">
        <v>46762</v>
      </c>
      <c r="O112" s="358"/>
      <c r="P112" s="357" t="s">
        <v>7</v>
      </c>
      <c r="Q112" s="423" t="s">
        <v>2063</v>
      </c>
      <c r="R112" s="356"/>
    </row>
    <row r="113" spans="11:18" ht="17.25" thickBot="1">
      <c r="K113" s="352" t="s">
        <v>2003</v>
      </c>
      <c r="L113" s="356"/>
      <c r="M113" s="421"/>
      <c r="N113" s="423" t="s">
        <v>2008</v>
      </c>
      <c r="O113" s="356"/>
      <c r="P113" s="355"/>
      <c r="Q113" s="423">
        <v>-2000000</v>
      </c>
      <c r="R113" s="356"/>
    </row>
    <row r="114" spans="11:18" ht="17.25" thickBot="1">
      <c r="K114" s="352" t="s">
        <v>2006</v>
      </c>
      <c r="L114" s="356"/>
      <c r="M114" s="360" t="s">
        <v>1994</v>
      </c>
      <c r="N114" s="535">
        <f>N112</f>
        <v>46762</v>
      </c>
      <c r="O114" s="358"/>
      <c r="P114" s="361" t="s">
        <v>7</v>
      </c>
      <c r="Q114" s="424">
        <f>Q113</f>
        <v>-2000000</v>
      </c>
      <c r="R114" s="356"/>
    </row>
    <row r="115" spans="11:18" ht="17.25" thickTop="1">
      <c r="K115" s="498" t="s">
        <v>2007</v>
      </c>
      <c r="L115" s="498"/>
      <c r="M115" s="498"/>
      <c r="N115" s="498"/>
      <c r="O115" s="498"/>
      <c r="P115" s="498"/>
      <c r="Q115" s="498"/>
      <c r="R115" s="498"/>
    </row>
    <row r="116" spans="11:18" ht="17.25" thickBot="1">
      <c r="K116" s="353"/>
      <c r="L116" s="353"/>
      <c r="M116" s="495" t="str">
        <f>C2</f>
        <v>一一三年底</v>
      </c>
      <c r="N116" s="495"/>
      <c r="O116" s="352"/>
      <c r="P116" s="495" t="str">
        <f>F2</f>
        <v>一一二年底</v>
      </c>
      <c r="Q116" s="495"/>
      <c r="R116" s="353"/>
    </row>
    <row r="117" spans="11:18">
      <c r="K117" s="364" t="s">
        <v>2009</v>
      </c>
      <c r="L117" s="356"/>
      <c r="M117" s="357" t="s">
        <v>7</v>
      </c>
      <c r="N117" s="534">
        <v>233808</v>
      </c>
      <c r="O117" s="363"/>
      <c r="P117" s="357" t="s">
        <v>7</v>
      </c>
      <c r="Q117" s="423">
        <v>-22866983</v>
      </c>
      <c r="R117" s="353"/>
    </row>
    <row r="118" spans="11:18">
      <c r="K118" s="364" t="s">
        <v>2010</v>
      </c>
      <c r="L118" s="356"/>
      <c r="M118" s="355"/>
      <c r="N118" s="423" t="s">
        <v>2063</v>
      </c>
      <c r="O118" s="363"/>
      <c r="P118" s="355"/>
      <c r="Q118" s="534">
        <v>893234</v>
      </c>
      <c r="R118" s="353"/>
    </row>
    <row r="119" spans="11:18" ht="19.5" customHeight="1" thickBot="1">
      <c r="K119" s="364" t="s">
        <v>2090</v>
      </c>
      <c r="L119" s="356"/>
      <c r="M119" s="365"/>
      <c r="N119" s="429">
        <f>-N117</f>
        <v>-233808</v>
      </c>
      <c r="O119" s="363"/>
      <c r="P119" s="366"/>
      <c r="Q119" s="429" t="s">
        <v>2063</v>
      </c>
      <c r="R119" s="353"/>
    </row>
    <row r="120" spans="11:18">
      <c r="K120" s="364" t="s">
        <v>2012</v>
      </c>
      <c r="L120" s="356"/>
      <c r="M120" s="350"/>
      <c r="N120" s="426" t="s">
        <v>2063</v>
      </c>
      <c r="O120" s="363"/>
      <c r="P120" s="358"/>
      <c r="Q120" s="423">
        <f>Q117+Q118</f>
        <v>-21973749</v>
      </c>
      <c r="R120" s="367"/>
    </row>
    <row r="121" spans="11:18" ht="17.25" thickBot="1">
      <c r="K121" s="364" t="s">
        <v>2013</v>
      </c>
      <c r="L121" s="356"/>
      <c r="M121" s="365"/>
      <c r="N121" s="441" t="s">
        <v>2082</v>
      </c>
      <c r="O121" s="363"/>
      <c r="P121" s="366"/>
      <c r="Q121" s="441" t="s">
        <v>2082</v>
      </c>
      <c r="R121" s="353"/>
    </row>
    <row r="122" spans="11:18">
      <c r="K122" s="364" t="s">
        <v>2001</v>
      </c>
      <c r="L122" s="356"/>
      <c r="M122" s="356"/>
      <c r="N122" s="442" t="s">
        <v>2063</v>
      </c>
      <c r="O122" s="369"/>
      <c r="P122" s="368"/>
      <c r="Q122" s="442" t="s">
        <v>2063</v>
      </c>
      <c r="R122" s="353"/>
    </row>
    <row r="123" spans="11:18" ht="17.25" thickBot="1">
      <c r="K123" s="364" t="s">
        <v>2014</v>
      </c>
      <c r="L123" s="356"/>
      <c r="M123" s="370"/>
      <c r="N123" s="442" t="s">
        <v>2063</v>
      </c>
      <c r="O123" s="355"/>
      <c r="P123" s="366"/>
      <c r="Q123" s="442" t="s">
        <v>2063</v>
      </c>
      <c r="R123" s="353"/>
    </row>
    <row r="124" spans="11:18">
      <c r="K124" s="364" t="s">
        <v>2015</v>
      </c>
      <c r="L124" s="356"/>
      <c r="M124" s="354"/>
      <c r="N124" s="426" t="str">
        <f>N122</f>
        <v>–</v>
      </c>
      <c r="O124" s="355"/>
      <c r="P124" s="354"/>
      <c r="Q124" s="426" t="s">
        <v>2063</v>
      </c>
      <c r="R124" s="353"/>
    </row>
    <row r="125" spans="11:18" ht="17.25" thickBot="1">
      <c r="K125" s="364" t="s">
        <v>2016</v>
      </c>
      <c r="L125" s="356"/>
      <c r="M125" s="356"/>
      <c r="N125" s="442" t="s">
        <v>2063</v>
      </c>
      <c r="O125" s="355"/>
      <c r="P125" s="354"/>
      <c r="Q125" s="423">
        <v>-2903</v>
      </c>
      <c r="R125" s="353"/>
    </row>
    <row r="126" spans="11:18" ht="17.25" thickBot="1">
      <c r="K126" s="364" t="s">
        <v>2099</v>
      </c>
      <c r="L126" s="356"/>
      <c r="M126" s="361" t="s">
        <v>7</v>
      </c>
      <c r="N126" s="424" t="str">
        <f>N124</f>
        <v>–</v>
      </c>
      <c r="O126" s="371"/>
      <c r="P126" s="361" t="s">
        <v>7</v>
      </c>
      <c r="Q126" s="424">
        <f>SUM(Q124:Q125)</f>
        <v>-2903</v>
      </c>
      <c r="R126" s="353"/>
    </row>
    <row r="127" spans="11:18" ht="17.25" thickTop="1">
      <c r="K127" s="494" t="s">
        <v>2018</v>
      </c>
      <c r="L127" s="494"/>
      <c r="M127" s="494"/>
      <c r="N127" s="494"/>
      <c r="O127" s="494"/>
      <c r="P127" s="494"/>
      <c r="Q127" s="494"/>
      <c r="R127" s="494"/>
    </row>
    <row r="128" spans="11:18" ht="17.25" thickBot="1">
      <c r="K128" s="372"/>
      <c r="L128" s="372"/>
      <c r="M128" s="495" t="str">
        <f>C2</f>
        <v>一一三年底</v>
      </c>
      <c r="N128" s="495"/>
      <c r="O128" s="352"/>
      <c r="P128" s="495" t="str">
        <f>F2</f>
        <v>一一二年底</v>
      </c>
      <c r="Q128" s="495"/>
      <c r="R128" s="372"/>
    </row>
    <row r="129" spans="11:18" ht="17.25" thickBot="1">
      <c r="K129" s="352" t="s">
        <v>92</v>
      </c>
      <c r="L129" s="373"/>
      <c r="M129" s="374" t="s">
        <v>7</v>
      </c>
      <c r="N129" s="443">
        <f>BS!C37</f>
        <v>4314920</v>
      </c>
      <c r="O129" s="374"/>
      <c r="P129" s="372" t="s">
        <v>7</v>
      </c>
      <c r="Q129" s="439">
        <v>4361682</v>
      </c>
      <c r="R129" s="372"/>
    </row>
    <row r="130" spans="11:18" ht="17.25" thickBot="1">
      <c r="K130" s="352" t="s">
        <v>137</v>
      </c>
      <c r="L130" s="373"/>
      <c r="M130" s="420" t="s">
        <v>7</v>
      </c>
      <c r="N130" s="424" t="s">
        <v>2063</v>
      </c>
      <c r="O130" s="374"/>
      <c r="P130" s="419" t="s">
        <v>7</v>
      </c>
      <c r="Q130" s="424" t="s">
        <v>2063</v>
      </c>
      <c r="R130" s="372"/>
    </row>
    <row r="131" spans="11:18" ht="17.25" thickTop="1">
      <c r="K131" s="498" t="s">
        <v>2019</v>
      </c>
      <c r="L131" s="498"/>
      <c r="M131" s="498"/>
      <c r="N131" s="498"/>
      <c r="O131" s="498"/>
      <c r="P131" s="498"/>
      <c r="Q131" s="498"/>
      <c r="R131" s="498"/>
    </row>
    <row r="132" spans="11:18" ht="17.25" customHeight="1" thickBot="1">
      <c r="K132" s="353"/>
      <c r="L132" s="353"/>
      <c r="M132" s="495" t="str">
        <f>C2</f>
        <v>一一三年底</v>
      </c>
      <c r="N132" s="495"/>
      <c r="O132" s="352"/>
      <c r="P132" s="495" t="str">
        <f>F2</f>
        <v>一一二年底</v>
      </c>
      <c r="Q132" s="495"/>
      <c r="R132" s="353"/>
    </row>
    <row r="133" spans="11:18">
      <c r="K133" s="352" t="s">
        <v>2020</v>
      </c>
      <c r="L133" s="356"/>
      <c r="M133" s="367" t="s">
        <v>7</v>
      </c>
      <c r="N133" s="423" t="s">
        <v>2063</v>
      </c>
      <c r="O133" s="356"/>
      <c r="P133" s="367" t="s">
        <v>7</v>
      </c>
      <c r="Q133" s="423" t="s">
        <v>2063</v>
      </c>
      <c r="R133" s="353"/>
    </row>
    <row r="134" spans="11:18" ht="17.25" thickBot="1">
      <c r="K134" s="352" t="s">
        <v>2021</v>
      </c>
      <c r="L134" s="356"/>
      <c r="M134" s="376"/>
      <c r="N134" s="445">
        <f>資產負債表!D45</f>
        <v>-30126665</v>
      </c>
      <c r="O134" s="367"/>
      <c r="P134" s="376"/>
      <c r="Q134" s="445">
        <f>資產負債表!I45</f>
        <v>-30313711</v>
      </c>
      <c r="R134" s="353"/>
    </row>
    <row r="135" spans="11:18" ht="17.25" thickBot="1">
      <c r="K135" s="352" t="s">
        <v>207</v>
      </c>
      <c r="L135" s="356"/>
      <c r="M135" s="360" t="s">
        <v>7</v>
      </c>
      <c r="N135" s="446">
        <f>N134</f>
        <v>-30126665</v>
      </c>
      <c r="O135" s="367"/>
      <c r="P135" s="360" t="s">
        <v>7</v>
      </c>
      <c r="Q135" s="446">
        <f>Q134</f>
        <v>-30313711</v>
      </c>
      <c r="R135" s="353"/>
    </row>
    <row r="136" spans="11:18" ht="17.25" thickTop="1"/>
  </sheetData>
  <mergeCells count="48">
    <mergeCell ref="C16:D16"/>
    <mergeCell ref="F16:G16"/>
    <mergeCell ref="C53:D53"/>
    <mergeCell ref="F53:G53"/>
    <mergeCell ref="C63:D63"/>
    <mergeCell ref="F63:G63"/>
    <mergeCell ref="C27:D27"/>
    <mergeCell ref="F27:G27"/>
    <mergeCell ref="C95:D95"/>
    <mergeCell ref="F95:G95"/>
    <mergeCell ref="C103:D103"/>
    <mergeCell ref="F103:G103"/>
    <mergeCell ref="C90:D90"/>
    <mergeCell ref="F90:G90"/>
    <mergeCell ref="F76:G76"/>
    <mergeCell ref="C83:D83"/>
    <mergeCell ref="F83:G83"/>
    <mergeCell ref="C36:D36"/>
    <mergeCell ref="F36:G36"/>
    <mergeCell ref="C43:D43"/>
    <mergeCell ref="F43:G43"/>
    <mergeCell ref="C58:D58"/>
    <mergeCell ref="F58:G58"/>
    <mergeCell ref="C71:D71"/>
    <mergeCell ref="F71:G71"/>
    <mergeCell ref="C48:D48"/>
    <mergeCell ref="F48:G48"/>
    <mergeCell ref="M128:N128"/>
    <mergeCell ref="P128:Q128"/>
    <mergeCell ref="K131:R131"/>
    <mergeCell ref="M132:N132"/>
    <mergeCell ref="P132:Q132"/>
    <mergeCell ref="K127:R127"/>
    <mergeCell ref="C2:D2"/>
    <mergeCell ref="F2:G2"/>
    <mergeCell ref="K110:R110"/>
    <mergeCell ref="M111:N111"/>
    <mergeCell ref="P111:Q111"/>
    <mergeCell ref="C7:D7"/>
    <mergeCell ref="F7:G7"/>
    <mergeCell ref="K115:R115"/>
    <mergeCell ref="M116:N116"/>
    <mergeCell ref="P116:Q116"/>
    <mergeCell ref="C11:D11"/>
    <mergeCell ref="F11:G11"/>
    <mergeCell ref="C21:D21"/>
    <mergeCell ref="F21:G21"/>
    <mergeCell ref="C76:D76"/>
  </mergeCells>
  <phoneticPr fontId="9" type="noConversion"/>
  <pageMargins left="0.7" right="0.7" top="0.75" bottom="0.75" header="0.3" footer="0.3"/>
  <pageSetup paperSize="9" orientation="portrait"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1FE6C-4B76-48F5-9AFF-2D32D68B873C}">
  <sheetPr>
    <tabColor rgb="FFFF0000"/>
    <pageSetUpPr fitToPage="1"/>
  </sheetPr>
  <dimension ref="A1:L34"/>
  <sheetViews>
    <sheetView zoomScale="145" zoomScaleNormal="145" workbookViewId="0">
      <selection activeCell="I12" sqref="I12"/>
    </sheetView>
  </sheetViews>
  <sheetFormatPr defaultColWidth="8" defaultRowHeight="15"/>
  <cols>
    <col min="1" max="1" width="1.625" style="385" customWidth="1"/>
    <col min="2" max="2" width="16.5" style="385" customWidth="1"/>
    <col min="3" max="5" width="9.75" style="385" customWidth="1"/>
    <col min="6" max="8" width="9.875" style="385" customWidth="1"/>
    <col min="9" max="16384" width="8" style="385"/>
  </cols>
  <sheetData>
    <row r="1" spans="1:8" ht="17.25" thickBot="1">
      <c r="A1" s="383"/>
      <c r="B1" s="384" t="s">
        <v>2030</v>
      </c>
      <c r="C1" s="499" t="s">
        <v>2089</v>
      </c>
      <c r="D1" s="500"/>
      <c r="E1" s="501"/>
      <c r="F1" s="502" t="s">
        <v>2031</v>
      </c>
      <c r="G1" s="502"/>
      <c r="H1" s="503"/>
    </row>
    <row r="2" spans="1:8" ht="15.75">
      <c r="A2" s="386"/>
      <c r="B2" s="387"/>
      <c r="C2" s="388" t="s">
        <v>2032</v>
      </c>
      <c r="D2" s="389" t="s">
        <v>2033</v>
      </c>
      <c r="E2" s="504" t="s">
        <v>2034</v>
      </c>
      <c r="F2" s="389" t="s">
        <v>2033</v>
      </c>
      <c r="G2" s="389" t="s">
        <v>2033</v>
      </c>
      <c r="H2" s="504" t="s">
        <v>2034</v>
      </c>
    </row>
    <row r="3" spans="1:8" ht="15.75" thickBot="1">
      <c r="A3" s="386"/>
      <c r="B3" s="390" t="s">
        <v>2035</v>
      </c>
      <c r="C3" s="391" t="s">
        <v>2036</v>
      </c>
      <c r="D3" s="392" t="s">
        <v>2037</v>
      </c>
      <c r="E3" s="505"/>
      <c r="F3" s="392" t="s">
        <v>2038</v>
      </c>
      <c r="G3" s="392" t="s">
        <v>2037</v>
      </c>
      <c r="H3" s="505"/>
    </row>
    <row r="4" spans="1:8" ht="15.75">
      <c r="A4" s="386"/>
      <c r="B4" s="393" t="s">
        <v>2039</v>
      </c>
      <c r="C4" s="394"/>
      <c r="D4" s="395"/>
      <c r="E4" s="396"/>
      <c r="F4" s="396"/>
      <c r="G4" s="396"/>
      <c r="H4" s="396"/>
    </row>
    <row r="5" spans="1:8">
      <c r="A5" s="386"/>
      <c r="B5" s="397" t="s">
        <v>2040</v>
      </c>
      <c r="C5" s="398">
        <f>TB!I236+TB!I239</f>
        <v>7889677</v>
      </c>
      <c r="D5" s="399">
        <f>TB!I304</f>
        <v>9433488</v>
      </c>
      <c r="E5" s="399">
        <f>C5+D5</f>
        <v>17323165</v>
      </c>
      <c r="F5" s="398">
        <v>5519670</v>
      </c>
      <c r="G5" s="399">
        <v>7841710</v>
      </c>
      <c r="H5" s="399">
        <f>F5+G5</f>
        <v>13361380</v>
      </c>
    </row>
    <row r="6" spans="1:8">
      <c r="A6" s="386"/>
      <c r="B6" s="397" t="s">
        <v>2041</v>
      </c>
      <c r="C6" s="400">
        <v>852122</v>
      </c>
      <c r="D6" s="401">
        <v>650353</v>
      </c>
      <c r="E6" s="399">
        <f>C6+D6</f>
        <v>1502475</v>
      </c>
      <c r="F6" s="398">
        <v>676797</v>
      </c>
      <c r="G6" s="399">
        <v>767358</v>
      </c>
      <c r="H6" s="399">
        <f t="shared" ref="H6:H9" si="0">F6+G6</f>
        <v>1444155</v>
      </c>
    </row>
    <row r="7" spans="1:8">
      <c r="A7" s="386"/>
      <c r="B7" s="397" t="s">
        <v>2042</v>
      </c>
      <c r="C7" s="400">
        <f>TB!I262</f>
        <v>159998</v>
      </c>
      <c r="D7" s="401">
        <f>TB!I354</f>
        <v>353089</v>
      </c>
      <c r="E7" s="399">
        <f>C7+D7</f>
        <v>513087</v>
      </c>
      <c r="F7" s="398">
        <v>158598</v>
      </c>
      <c r="G7" s="399">
        <v>424485</v>
      </c>
      <c r="H7" s="399">
        <f t="shared" si="0"/>
        <v>583083</v>
      </c>
    </row>
    <row r="8" spans="1:8">
      <c r="A8" s="386"/>
      <c r="B8" s="402" t="s">
        <v>2043</v>
      </c>
      <c r="C8" s="400">
        <f>TB!I237+TB!I240</f>
        <v>1375269</v>
      </c>
      <c r="D8" s="401">
        <f>TB!I305</f>
        <v>676758</v>
      </c>
      <c r="E8" s="399">
        <f>C8+D8</f>
        <v>2052027</v>
      </c>
      <c r="F8" s="398">
        <v>753528</v>
      </c>
      <c r="G8" s="399">
        <v>735886</v>
      </c>
      <c r="H8" s="399">
        <f t="shared" si="0"/>
        <v>1489414</v>
      </c>
    </row>
    <row r="9" spans="1:8">
      <c r="A9" s="386"/>
      <c r="B9" s="403" t="s">
        <v>2044</v>
      </c>
      <c r="C9" s="400">
        <f>TB!I252</f>
        <v>2945943</v>
      </c>
      <c r="D9" s="401">
        <f>TB!I320</f>
        <v>902651</v>
      </c>
      <c r="E9" s="399">
        <f>C9+D9</f>
        <v>3848594</v>
      </c>
      <c r="F9" s="398">
        <v>6463917</v>
      </c>
      <c r="G9" s="399">
        <v>1512255</v>
      </c>
      <c r="H9" s="399">
        <f t="shared" si="0"/>
        <v>7976172</v>
      </c>
    </row>
    <row r="10" spans="1:8" ht="15.75" thickBot="1">
      <c r="A10" s="404"/>
      <c r="B10" s="405" t="s">
        <v>2045</v>
      </c>
      <c r="C10" s="406">
        <f>TB!I253</f>
        <v>15876</v>
      </c>
      <c r="D10" s="407">
        <f>TB!I321</f>
        <v>35231</v>
      </c>
      <c r="E10" s="416">
        <f>D10</f>
        <v>35231</v>
      </c>
      <c r="F10" s="406" t="s">
        <v>2008</v>
      </c>
      <c r="G10" s="407">
        <v>101268</v>
      </c>
      <c r="H10" s="399">
        <f>G10</f>
        <v>101268</v>
      </c>
    </row>
    <row r="11" spans="1:8">
      <c r="H11" s="415"/>
    </row>
    <row r="12" spans="1:8">
      <c r="B12" s="408" t="s">
        <v>2046</v>
      </c>
      <c r="F12" s="409"/>
      <c r="G12" s="409"/>
    </row>
    <row r="13" spans="1:8">
      <c r="B13" s="408" t="s">
        <v>2047</v>
      </c>
      <c r="C13" s="409"/>
      <c r="D13" s="409"/>
      <c r="F13" s="409"/>
      <c r="G13" s="409"/>
    </row>
    <row r="17" spans="2:12">
      <c r="L17" s="410"/>
    </row>
    <row r="20" spans="2:12">
      <c r="B20" s="411" t="s">
        <v>1586</v>
      </c>
      <c r="C20" s="412">
        <f>[2]當期損益表!C28</f>
        <v>18984961</v>
      </c>
      <c r="D20" s="410">
        <f>C20/E5</f>
        <v>1.0959291214971398</v>
      </c>
    </row>
    <row r="21" spans="2:12">
      <c r="B21" s="411" t="s">
        <v>2048</v>
      </c>
      <c r="C21" s="412">
        <f>[2]當期損益表!C37</f>
        <v>1162140</v>
      </c>
      <c r="D21" s="410"/>
    </row>
    <row r="22" spans="2:12">
      <c r="B22" s="411" t="s">
        <v>1848</v>
      </c>
      <c r="C22" s="412">
        <f>[2]當期損益表!C41</f>
        <v>4015188</v>
      </c>
      <c r="D22" s="410"/>
    </row>
    <row r="23" spans="2:12">
      <c r="B23" s="411" t="s">
        <v>2049</v>
      </c>
      <c r="C23" s="412">
        <f>[2]當期損益表!C34</f>
        <v>2287870</v>
      </c>
      <c r="D23" s="410"/>
    </row>
    <row r="24" spans="2:12">
      <c r="B24" s="411" t="s">
        <v>1850</v>
      </c>
      <c r="C24" s="412">
        <f>[2]當期損益表!C42</f>
        <v>882411</v>
      </c>
      <c r="D24" s="410"/>
    </row>
    <row r="25" spans="2:12">
      <c r="B25" s="410"/>
      <c r="C25" s="412"/>
      <c r="D25" s="410"/>
    </row>
    <row r="26" spans="2:12">
      <c r="B26" s="411" t="s">
        <v>1890</v>
      </c>
      <c r="C26" s="412">
        <f>[2]當期損益表!C54</f>
        <v>14795026</v>
      </c>
      <c r="D26" s="410">
        <f>C26/E5</f>
        <v>0.85406021359260853</v>
      </c>
    </row>
    <row r="27" spans="2:12">
      <c r="B27" s="411" t="s">
        <v>2050</v>
      </c>
      <c r="C27" s="412">
        <f>[2]當期損益表!C63</f>
        <v>1232742</v>
      </c>
      <c r="D27" s="413">
        <f>C27*D26</f>
        <v>1052835.8958245795</v>
      </c>
    </row>
    <row r="28" spans="2:12">
      <c r="B28" s="411" t="s">
        <v>2051</v>
      </c>
      <c r="C28" s="412">
        <f>[2]當期損益表!C68</f>
        <v>667200</v>
      </c>
      <c r="D28" s="410"/>
    </row>
    <row r="29" spans="2:12">
      <c r="B29" s="411" t="s">
        <v>1937</v>
      </c>
      <c r="C29" s="412">
        <f>[2]當期損益表!C74</f>
        <v>1469201</v>
      </c>
      <c r="D29" s="410"/>
    </row>
    <row r="30" spans="2:12">
      <c r="B30" s="411" t="s">
        <v>1939</v>
      </c>
      <c r="C30" s="412">
        <f>[2]當期損益表!C76</f>
        <v>316312</v>
      </c>
      <c r="D30" s="413">
        <f>C30*D26</f>
        <v>270149.49428190518</v>
      </c>
    </row>
    <row r="32" spans="2:12">
      <c r="B32" s="410"/>
      <c r="C32" s="414" t="s">
        <v>2052</v>
      </c>
      <c r="D32" s="414" t="s">
        <v>2053</v>
      </c>
      <c r="E32" s="410"/>
    </row>
    <row r="33" spans="2:5">
      <c r="B33" s="414" t="s">
        <v>2054</v>
      </c>
      <c r="C33" s="412"/>
      <c r="D33" s="412"/>
      <c r="E33" s="412"/>
    </row>
    <row r="34" spans="2:5">
      <c r="B34" s="414" t="s">
        <v>2055</v>
      </c>
      <c r="C34" s="412"/>
      <c r="D34" s="412"/>
      <c r="E34" s="412"/>
    </row>
  </sheetData>
  <mergeCells count="4">
    <mergeCell ref="C1:E1"/>
    <mergeCell ref="F1:H1"/>
    <mergeCell ref="E2:E3"/>
    <mergeCell ref="H2:H3"/>
  </mergeCells>
  <phoneticPr fontId="9" type="noConversion"/>
  <pageMargins left="0.25" right="0.25" top="0.75" bottom="0.75" header="0.3" footer="0.3"/>
  <pageSetup paperSize="9" fitToHeight="0" orientation="portrait"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71BFB-118D-439F-A61A-0CC16491B7A1}">
  <sheetPr>
    <tabColor rgb="FFFF0000"/>
  </sheetPr>
  <dimension ref="A1:AA23"/>
  <sheetViews>
    <sheetView zoomScaleNormal="100" workbookViewId="0">
      <pane xSplit="5" ySplit="2" topLeftCell="F3" activePane="bottomRight" state="frozen"/>
      <selection pane="topRight" activeCell="F1" sqref="F1"/>
      <selection pane="bottomLeft" activeCell="A3" sqref="A3"/>
      <selection pane="bottomRight" activeCell="AD11" sqref="AD11"/>
    </sheetView>
  </sheetViews>
  <sheetFormatPr defaultRowHeight="16.5"/>
  <cols>
    <col min="1" max="1" width="14.5" customWidth="1"/>
    <col min="2" max="2" width="2.375" customWidth="1"/>
    <col min="3" max="3" width="2.5" hidden="1" customWidth="1"/>
    <col min="4" max="4" width="10.5" hidden="1" customWidth="1"/>
    <col min="5" max="5" width="2.375" hidden="1" customWidth="1"/>
    <col min="6" max="6" width="2.125" customWidth="1"/>
    <col min="7" max="7" width="11.625" style="434" customWidth="1"/>
    <col min="8" max="9" width="2.125" customWidth="1"/>
    <col min="10" max="10" width="11.625" style="436" customWidth="1"/>
    <col min="11" max="12" width="2.125" customWidth="1"/>
    <col min="13" max="13" width="11.625" style="434" customWidth="1"/>
    <col min="14" max="15" width="2.125" customWidth="1"/>
    <col min="16" max="16" width="11.625" style="434" customWidth="1"/>
    <col min="17" max="18" width="2.125" customWidth="1"/>
    <col min="19" max="19" width="11.625" style="434" customWidth="1"/>
    <col min="20" max="21" width="2.125" customWidth="1"/>
    <col min="22" max="22" width="11.625" style="434" customWidth="1"/>
    <col min="23" max="23" width="2.125" style="299" customWidth="1"/>
    <col min="24" max="24" width="10.5" bestFit="1" customWidth="1"/>
  </cols>
  <sheetData>
    <row r="1" spans="1:27" ht="17.25" thickBot="1">
      <c r="A1" s="279"/>
      <c r="B1" s="279"/>
      <c r="C1" s="506" t="s">
        <v>1112</v>
      </c>
      <c r="D1" s="506"/>
      <c r="E1" s="280"/>
      <c r="F1" s="507" t="s">
        <v>2102</v>
      </c>
      <c r="G1" s="507"/>
      <c r="H1" s="280"/>
      <c r="I1" s="506" t="s">
        <v>1124</v>
      </c>
      <c r="J1" s="506"/>
      <c r="K1" s="281"/>
      <c r="L1" s="506" t="s">
        <v>1113</v>
      </c>
      <c r="M1" s="506"/>
      <c r="N1" s="281"/>
      <c r="O1" s="506" t="s">
        <v>1123</v>
      </c>
      <c r="P1" s="506"/>
      <c r="Q1" s="281"/>
      <c r="R1" s="506" t="s">
        <v>2101</v>
      </c>
      <c r="S1" s="506"/>
      <c r="T1" s="281"/>
      <c r="U1" s="506" t="s">
        <v>1114</v>
      </c>
      <c r="V1" s="506"/>
      <c r="W1" s="282"/>
    </row>
    <row r="2" spans="1:27">
      <c r="A2" s="283" t="s">
        <v>1115</v>
      </c>
      <c r="B2" s="280"/>
      <c r="C2" s="280"/>
      <c r="D2" s="280"/>
      <c r="E2" s="280"/>
      <c r="F2" s="280"/>
      <c r="G2" s="433"/>
      <c r="H2" s="280"/>
      <c r="I2" s="280"/>
      <c r="J2" s="435"/>
      <c r="K2" s="285"/>
      <c r="L2" s="280"/>
      <c r="M2" s="437"/>
      <c r="N2" s="285"/>
      <c r="O2" s="280"/>
      <c r="P2" s="437"/>
      <c r="Q2" s="285"/>
      <c r="R2" s="280"/>
      <c r="S2" s="437"/>
      <c r="T2" s="285"/>
      <c r="U2" s="285"/>
      <c r="V2" s="438"/>
      <c r="W2" s="287"/>
    </row>
    <row r="3" spans="1:27">
      <c r="A3" s="288" t="s">
        <v>1990</v>
      </c>
      <c r="B3" s="279"/>
      <c r="C3" s="289" t="s">
        <v>7</v>
      </c>
      <c r="D3" s="290">
        <v>0</v>
      </c>
      <c r="E3" s="291"/>
      <c r="F3" s="457" t="s">
        <v>7</v>
      </c>
      <c r="G3" s="453">
        <v>9848566</v>
      </c>
      <c r="H3" s="344"/>
      <c r="I3" s="457" t="s">
        <v>7</v>
      </c>
      <c r="J3" s="453">
        <v>41821547</v>
      </c>
      <c r="K3" s="344"/>
      <c r="L3" s="457" t="s">
        <v>7</v>
      </c>
      <c r="M3" s="453">
        <v>6888571</v>
      </c>
      <c r="N3" s="344"/>
      <c r="O3" s="457" t="s">
        <v>7</v>
      </c>
      <c r="P3" s="453">
        <v>689337</v>
      </c>
      <c r="Q3" s="345"/>
      <c r="R3" s="457" t="s">
        <v>7</v>
      </c>
      <c r="S3" s="453">
        <v>1546871</v>
      </c>
      <c r="T3" s="345"/>
      <c r="U3" s="457" t="s">
        <v>7</v>
      </c>
      <c r="V3" s="453">
        <f>SUM(D3:S3)</f>
        <v>60794892</v>
      </c>
      <c r="W3" s="292"/>
    </row>
    <row r="4" spans="1:27">
      <c r="A4" s="293" t="s">
        <v>1116</v>
      </c>
      <c r="B4" s="279"/>
      <c r="C4" s="280"/>
      <c r="D4" s="290"/>
      <c r="E4" s="289"/>
      <c r="F4" s="458"/>
      <c r="G4" s="453">
        <v>1149762</v>
      </c>
      <c r="H4" s="344"/>
      <c r="I4" s="458"/>
      <c r="J4" s="453">
        <v>1667144</v>
      </c>
      <c r="K4" s="344"/>
      <c r="L4" s="458"/>
      <c r="M4" s="453">
        <v>1465730</v>
      </c>
      <c r="N4" s="344"/>
      <c r="O4" s="458"/>
      <c r="P4" s="453">
        <v>21989</v>
      </c>
      <c r="Q4" s="345"/>
      <c r="R4" s="458"/>
      <c r="S4" s="453">
        <v>596200</v>
      </c>
      <c r="T4" s="345"/>
      <c r="U4" s="458"/>
      <c r="V4" s="453">
        <f>SUM(D4:S4)</f>
        <v>4900825</v>
      </c>
      <c r="W4" s="292"/>
    </row>
    <row r="5" spans="1:27" ht="17.25" thickBot="1">
      <c r="A5" s="293" t="s">
        <v>1084</v>
      </c>
      <c r="B5" s="289"/>
      <c r="C5" s="294"/>
      <c r="D5" s="295"/>
      <c r="E5" s="289"/>
      <c r="F5" s="459"/>
      <c r="G5" s="454">
        <v>7314286</v>
      </c>
      <c r="H5" s="344"/>
      <c r="I5" s="459"/>
      <c r="J5" s="454">
        <v>-7314286</v>
      </c>
      <c r="K5" s="344"/>
      <c r="L5" s="459"/>
      <c r="M5" s="454" t="s">
        <v>2100</v>
      </c>
      <c r="N5" s="344"/>
      <c r="O5" s="459"/>
      <c r="P5" s="454" t="s">
        <v>2100</v>
      </c>
      <c r="Q5" s="345"/>
      <c r="R5" s="459"/>
      <c r="S5" s="454" t="s">
        <v>2100</v>
      </c>
      <c r="T5" s="345"/>
      <c r="U5" s="459"/>
      <c r="V5" s="454" t="s">
        <v>2100</v>
      </c>
      <c r="W5" s="289"/>
    </row>
    <row r="6" spans="1:27">
      <c r="A6" s="289" t="s">
        <v>1991</v>
      </c>
      <c r="B6" s="279"/>
      <c r="C6" s="280"/>
      <c r="D6" s="290">
        <v>0</v>
      </c>
      <c r="E6" s="291"/>
      <c r="F6" s="458"/>
      <c r="G6" s="453">
        <f>SUM(G3:G5)</f>
        <v>18312614</v>
      </c>
      <c r="H6" s="347"/>
      <c r="I6" s="458"/>
      <c r="J6" s="453">
        <f>SUM(J3:J5)</f>
        <v>36174405</v>
      </c>
      <c r="K6" s="347"/>
      <c r="L6" s="458"/>
      <c r="M6" s="453">
        <f>SUM(M3:M5)</f>
        <v>8354301</v>
      </c>
      <c r="N6" s="347"/>
      <c r="O6" s="458"/>
      <c r="P6" s="453">
        <f>SUM(P3:P5)</f>
        <v>711326</v>
      </c>
      <c r="Q6" s="345"/>
      <c r="R6" s="458"/>
      <c r="S6" s="453">
        <f>SUM(S3:S5)</f>
        <v>2143071</v>
      </c>
      <c r="T6" s="345"/>
      <c r="U6" s="458"/>
      <c r="V6" s="453">
        <f>SUM(V3:V5)</f>
        <v>65695717</v>
      </c>
      <c r="W6" s="292"/>
    </row>
    <row r="7" spans="1:27">
      <c r="A7" s="293" t="s">
        <v>1116</v>
      </c>
      <c r="B7" s="279"/>
      <c r="C7" s="280"/>
      <c r="D7" s="290"/>
      <c r="E7" s="289"/>
      <c r="F7" s="460"/>
      <c r="G7" s="453" t="s">
        <v>2100</v>
      </c>
      <c r="H7" s="344"/>
      <c r="I7" s="460"/>
      <c r="J7" s="453">
        <v>1170000</v>
      </c>
      <c r="K7" s="344"/>
      <c r="L7" s="460"/>
      <c r="M7" s="453">
        <v>1044720</v>
      </c>
      <c r="N7" s="344"/>
      <c r="O7" s="460"/>
      <c r="P7" s="453">
        <v>103634</v>
      </c>
      <c r="Q7" s="345"/>
      <c r="R7" s="460"/>
      <c r="S7" s="453">
        <v>69900</v>
      </c>
      <c r="T7" s="345"/>
      <c r="U7" s="460"/>
      <c r="V7" s="453">
        <f t="shared" ref="V7" si="0">SUM(D7:S7)</f>
        <v>2388254</v>
      </c>
      <c r="W7" s="292"/>
    </row>
    <row r="8" spans="1:27">
      <c r="A8" s="293" t="s">
        <v>1117</v>
      </c>
      <c r="B8" s="289"/>
      <c r="C8" s="291"/>
      <c r="D8" s="290"/>
      <c r="E8" s="289"/>
      <c r="F8" s="460"/>
      <c r="G8" s="453" t="s">
        <v>2100</v>
      </c>
      <c r="H8" s="344"/>
      <c r="I8" s="460"/>
      <c r="J8" s="453" t="s">
        <v>2100</v>
      </c>
      <c r="K8" s="344"/>
      <c r="L8" s="460"/>
      <c r="M8" s="453" t="s">
        <v>2100</v>
      </c>
      <c r="N8" s="344"/>
      <c r="O8" s="460"/>
      <c r="P8" s="453" t="s">
        <v>2100</v>
      </c>
      <c r="Q8" s="345"/>
      <c r="R8" s="460"/>
      <c r="S8" s="453" t="s">
        <v>2100</v>
      </c>
      <c r="T8" s="345"/>
      <c r="U8" s="460"/>
      <c r="V8" s="453" t="s">
        <v>2100</v>
      </c>
      <c r="W8" s="292"/>
    </row>
    <row r="9" spans="1:27" ht="17.25" thickBot="1">
      <c r="A9" s="288" t="s">
        <v>1992</v>
      </c>
      <c r="B9" s="279"/>
      <c r="C9" s="296" t="s">
        <v>7</v>
      </c>
      <c r="D9" s="297">
        <v>0</v>
      </c>
      <c r="E9" s="280"/>
      <c r="F9" s="461" t="s">
        <v>7</v>
      </c>
      <c r="G9" s="455">
        <f>SUM(G6:G8)</f>
        <v>18312614</v>
      </c>
      <c r="H9" s="346"/>
      <c r="I9" s="461" t="s">
        <v>7</v>
      </c>
      <c r="J9" s="455">
        <f>SUM(J6:J8)</f>
        <v>37344405</v>
      </c>
      <c r="K9" s="344"/>
      <c r="L9" s="461" t="s">
        <v>7</v>
      </c>
      <c r="M9" s="455">
        <f>SUM(M6:M8)</f>
        <v>9399021</v>
      </c>
      <c r="N9" s="344"/>
      <c r="O9" s="461" t="s">
        <v>7</v>
      </c>
      <c r="P9" s="455">
        <f>SUM(P6:P8)</f>
        <v>814960</v>
      </c>
      <c r="Q9" s="345"/>
      <c r="R9" s="461" t="s">
        <v>7</v>
      </c>
      <c r="S9" s="455">
        <f>SUM(S6:S8)</f>
        <v>2212971</v>
      </c>
      <c r="T9" s="345"/>
      <c r="U9" s="461"/>
      <c r="V9" s="455">
        <f>SUM(V6:V8)</f>
        <v>68083971</v>
      </c>
      <c r="W9" s="292"/>
    </row>
    <row r="10" spans="1:27" ht="17.25" thickTop="1">
      <c r="A10" s="283" t="s">
        <v>1119</v>
      </c>
      <c r="B10" s="289"/>
      <c r="C10" s="280"/>
      <c r="D10" s="284"/>
      <c r="E10" s="291"/>
      <c r="F10" s="460"/>
      <c r="G10" s="456"/>
      <c r="H10" s="347"/>
      <c r="I10" s="460"/>
      <c r="J10" s="456"/>
      <c r="K10" s="347"/>
      <c r="L10" s="460"/>
      <c r="M10" s="456"/>
      <c r="N10" s="347"/>
      <c r="O10" s="460"/>
      <c r="P10" s="456"/>
      <c r="Q10" s="348"/>
      <c r="R10" s="460"/>
      <c r="S10" s="456"/>
      <c r="T10" s="348"/>
      <c r="U10" s="460"/>
      <c r="V10" s="456"/>
      <c r="W10" s="287"/>
      <c r="AA10" s="288"/>
    </row>
    <row r="11" spans="1:27">
      <c r="A11" s="289" t="s">
        <v>1993</v>
      </c>
      <c r="B11" s="289"/>
      <c r="C11" s="289" t="s">
        <v>7</v>
      </c>
      <c r="D11" s="290"/>
      <c r="E11" s="280"/>
      <c r="F11" s="457" t="s">
        <v>7</v>
      </c>
      <c r="G11" s="453">
        <v>542287</v>
      </c>
      <c r="H11" s="344"/>
      <c r="I11" s="457" t="s">
        <v>7</v>
      </c>
      <c r="J11" s="453">
        <v>927671</v>
      </c>
      <c r="K11" s="344"/>
      <c r="L11" s="457" t="s">
        <v>7</v>
      </c>
      <c r="M11" s="453">
        <v>221048</v>
      </c>
      <c r="N11" s="344"/>
      <c r="O11" s="457" t="s">
        <v>7</v>
      </c>
      <c r="P11" s="453">
        <v>81594</v>
      </c>
      <c r="Q11" s="345"/>
      <c r="R11" s="457" t="s">
        <v>7</v>
      </c>
      <c r="S11" s="453">
        <v>45888</v>
      </c>
      <c r="T11" s="345"/>
      <c r="U11" s="457" t="s">
        <v>7</v>
      </c>
      <c r="V11" s="453">
        <f>SUM(F11:U11)</f>
        <v>1818488</v>
      </c>
      <c r="W11" s="292"/>
    </row>
    <row r="12" spans="1:27">
      <c r="A12" s="293" t="s">
        <v>1120</v>
      </c>
      <c r="B12" s="289"/>
      <c r="C12" s="291"/>
      <c r="D12" s="290"/>
      <c r="E12" s="280"/>
      <c r="F12" s="458"/>
      <c r="G12" s="453">
        <v>2105404</v>
      </c>
      <c r="H12" s="344"/>
      <c r="I12" s="458"/>
      <c r="J12" s="453">
        <v>4125964</v>
      </c>
      <c r="K12" s="344"/>
      <c r="L12" s="458"/>
      <c r="M12" s="453">
        <v>1163497</v>
      </c>
      <c r="N12" s="344"/>
      <c r="O12" s="458"/>
      <c r="P12" s="453">
        <v>176936</v>
      </c>
      <c r="Q12" s="345"/>
      <c r="R12" s="458"/>
      <c r="S12" s="453">
        <v>404371</v>
      </c>
      <c r="T12" s="345"/>
      <c r="U12" s="458"/>
      <c r="V12" s="453">
        <f t="shared" ref="V12" si="1">SUM(D12:S12)</f>
        <v>7976172</v>
      </c>
      <c r="W12" s="292"/>
    </row>
    <row r="13" spans="1:27" ht="17.25" thickBot="1">
      <c r="A13" s="293" t="s">
        <v>1118</v>
      </c>
      <c r="B13" s="289"/>
      <c r="C13" s="294"/>
      <c r="D13" s="295"/>
      <c r="E13" s="289"/>
      <c r="F13" s="459"/>
      <c r="G13" s="454">
        <v>110822</v>
      </c>
      <c r="H13" s="344"/>
      <c r="I13" s="459"/>
      <c r="J13" s="454">
        <v>-110822</v>
      </c>
      <c r="K13" s="344"/>
      <c r="L13" s="459"/>
      <c r="M13" s="454" t="s">
        <v>2100</v>
      </c>
      <c r="N13" s="344"/>
      <c r="O13" s="459"/>
      <c r="P13" s="454" t="s">
        <v>2100</v>
      </c>
      <c r="Q13" s="345"/>
      <c r="R13" s="459"/>
      <c r="S13" s="454" t="s">
        <v>2100</v>
      </c>
      <c r="T13" s="345"/>
      <c r="U13" s="459"/>
      <c r="V13" s="454" t="s">
        <v>2100</v>
      </c>
      <c r="W13" s="292"/>
    </row>
    <row r="14" spans="1:27">
      <c r="A14" s="288" t="s">
        <v>1122</v>
      </c>
      <c r="B14" s="288"/>
      <c r="C14" s="291"/>
      <c r="D14" s="290"/>
      <c r="E14" s="289"/>
      <c r="F14" s="457"/>
      <c r="G14" s="453">
        <f>SUM(G11:G13)</f>
        <v>2758513</v>
      </c>
      <c r="H14" s="344"/>
      <c r="I14" s="457"/>
      <c r="J14" s="453">
        <f>SUM(J11:J13)</f>
        <v>4942813</v>
      </c>
      <c r="K14" s="347"/>
      <c r="L14" s="457"/>
      <c r="M14" s="453">
        <f>SUM(M11:M13)</f>
        <v>1384545</v>
      </c>
      <c r="N14" s="347"/>
      <c r="O14" s="457"/>
      <c r="P14" s="453">
        <f>SUM(P11:P13)</f>
        <v>258530</v>
      </c>
      <c r="Q14" s="345"/>
      <c r="R14" s="457"/>
      <c r="S14" s="453">
        <f>SUM(S11:S13)</f>
        <v>450259</v>
      </c>
      <c r="T14" s="345"/>
      <c r="U14" s="457"/>
      <c r="V14" s="453">
        <f>SUM(V11:V13)</f>
        <v>9794660</v>
      </c>
      <c r="W14" s="292"/>
    </row>
    <row r="15" spans="1:27">
      <c r="A15" s="293" t="s">
        <v>1120</v>
      </c>
      <c r="B15" s="289"/>
      <c r="C15" s="280"/>
      <c r="D15" s="290"/>
      <c r="E15" s="289"/>
      <c r="F15" s="460"/>
      <c r="G15" s="453">
        <v>940896</v>
      </c>
      <c r="H15" s="344"/>
      <c r="I15" s="460"/>
      <c r="J15" s="453">
        <v>1916250</v>
      </c>
      <c r="K15" s="344"/>
      <c r="L15" s="460"/>
      <c r="M15" s="453">
        <v>645945</v>
      </c>
      <c r="N15" s="344"/>
      <c r="O15" s="460"/>
      <c r="P15" s="453">
        <v>122398</v>
      </c>
      <c r="Q15" s="345"/>
      <c r="R15" s="460"/>
      <c r="S15" s="453">
        <v>223105</v>
      </c>
      <c r="T15" s="345"/>
      <c r="U15" s="460"/>
      <c r="V15" s="453">
        <f t="shared" ref="V15" si="2">SUM(D15:S15)</f>
        <v>3848594</v>
      </c>
      <c r="W15" s="292"/>
    </row>
    <row r="16" spans="1:27">
      <c r="A16" s="293" t="s">
        <v>1117</v>
      </c>
      <c r="B16" s="289"/>
      <c r="C16" s="280"/>
      <c r="D16" s="290"/>
      <c r="E16" s="289"/>
      <c r="F16" s="460"/>
      <c r="G16" s="453" t="s">
        <v>2100</v>
      </c>
      <c r="H16" s="344"/>
      <c r="I16" s="460"/>
      <c r="J16" s="453" t="s">
        <v>2100</v>
      </c>
      <c r="K16" s="344"/>
      <c r="L16" s="460"/>
      <c r="M16" s="453" t="s">
        <v>2100</v>
      </c>
      <c r="N16" s="344"/>
      <c r="O16" s="460"/>
      <c r="P16" s="453" t="s">
        <v>2100</v>
      </c>
      <c r="Q16" s="345"/>
      <c r="R16" s="460"/>
      <c r="S16" s="453" t="s">
        <v>2100</v>
      </c>
      <c r="T16" s="345"/>
      <c r="U16" s="460"/>
      <c r="V16" s="453" t="s">
        <v>2100</v>
      </c>
      <c r="W16" s="292"/>
    </row>
    <row r="17" spans="1:24" ht="17.25" thickBot="1">
      <c r="A17" s="288" t="s">
        <v>1992</v>
      </c>
      <c r="B17" s="279"/>
      <c r="C17" s="296" t="s">
        <v>7</v>
      </c>
      <c r="D17" s="297"/>
      <c r="E17" s="280"/>
      <c r="F17" s="461" t="s">
        <v>7</v>
      </c>
      <c r="G17" s="455">
        <f>SUM(G14:G16)</f>
        <v>3699409</v>
      </c>
      <c r="H17" s="346"/>
      <c r="I17" s="461" t="s">
        <v>7</v>
      </c>
      <c r="J17" s="455">
        <f>SUM(J14:J16)</f>
        <v>6859063</v>
      </c>
      <c r="K17" s="344"/>
      <c r="L17" s="461" t="s">
        <v>7</v>
      </c>
      <c r="M17" s="455">
        <f>SUM(M14:M16)</f>
        <v>2030490</v>
      </c>
      <c r="N17" s="344"/>
      <c r="O17" s="461" t="s">
        <v>7</v>
      </c>
      <c r="P17" s="455">
        <f>SUM(P14:P16)</f>
        <v>380928</v>
      </c>
      <c r="Q17" s="345"/>
      <c r="R17" s="461" t="s">
        <v>7</v>
      </c>
      <c r="S17" s="455">
        <f>SUM(S14:S16)</f>
        <v>673364</v>
      </c>
      <c r="T17" s="345"/>
      <c r="U17" s="461" t="s">
        <v>7</v>
      </c>
      <c r="V17" s="455">
        <f>SUM(V14:V16)</f>
        <v>13643254</v>
      </c>
      <c r="W17" s="292"/>
    </row>
    <row r="18" spans="1:24" ht="17.25" thickTop="1">
      <c r="A18" s="280"/>
      <c r="B18" s="280"/>
      <c r="C18" s="280"/>
      <c r="D18" s="286"/>
      <c r="E18" s="291"/>
      <c r="F18" s="460"/>
      <c r="G18" s="456"/>
      <c r="H18" s="347"/>
      <c r="I18" s="460"/>
      <c r="J18" s="456"/>
      <c r="K18" s="347"/>
      <c r="L18" s="460"/>
      <c r="M18" s="456"/>
      <c r="N18" s="347"/>
      <c r="O18" s="460"/>
      <c r="P18" s="456"/>
      <c r="Q18" s="348"/>
      <c r="R18" s="460"/>
      <c r="S18" s="456"/>
      <c r="T18" s="348"/>
      <c r="U18" s="460"/>
      <c r="V18" s="456"/>
      <c r="W18" s="287"/>
    </row>
    <row r="19" spans="1:24">
      <c r="A19" s="283" t="s">
        <v>1121</v>
      </c>
      <c r="B19" s="280"/>
      <c r="C19" s="280"/>
      <c r="D19" s="286"/>
      <c r="E19" s="291"/>
      <c r="F19" s="460"/>
      <c r="G19" s="456"/>
      <c r="H19" s="347"/>
      <c r="I19" s="460"/>
      <c r="J19" s="456"/>
      <c r="K19" s="347"/>
      <c r="L19" s="460"/>
      <c r="M19" s="456"/>
      <c r="N19" s="347"/>
      <c r="O19" s="460"/>
      <c r="P19" s="456"/>
      <c r="Q19" s="348"/>
      <c r="R19" s="460"/>
      <c r="S19" s="456"/>
      <c r="T19" s="348"/>
      <c r="U19" s="460"/>
      <c r="V19" s="456"/>
      <c r="W19" s="287"/>
    </row>
    <row r="20" spans="1:24" ht="17.25" thickBot="1">
      <c r="A20" s="288" t="s">
        <v>1992</v>
      </c>
      <c r="B20" s="279"/>
      <c r="C20" s="296" t="s">
        <v>7</v>
      </c>
      <c r="D20" s="297">
        <f>D9-D17</f>
        <v>0</v>
      </c>
      <c r="E20" s="280"/>
      <c r="F20" s="461" t="s">
        <v>7</v>
      </c>
      <c r="G20" s="455">
        <f>G9-G17</f>
        <v>14613205</v>
      </c>
      <c r="H20" s="346"/>
      <c r="I20" s="461" t="s">
        <v>7</v>
      </c>
      <c r="J20" s="455">
        <f>J9-J17</f>
        <v>30485342</v>
      </c>
      <c r="K20" s="344"/>
      <c r="L20" s="461" t="s">
        <v>7</v>
      </c>
      <c r="M20" s="455">
        <f>M9-M17</f>
        <v>7368531</v>
      </c>
      <c r="N20" s="344"/>
      <c r="O20" s="461" t="s">
        <v>7</v>
      </c>
      <c r="P20" s="455">
        <f>P9-P17</f>
        <v>434032</v>
      </c>
      <c r="Q20" s="345"/>
      <c r="R20" s="461" t="s">
        <v>7</v>
      </c>
      <c r="S20" s="455">
        <f>S9-S17</f>
        <v>1539607</v>
      </c>
      <c r="T20" s="345"/>
      <c r="U20" s="461" t="s">
        <v>7</v>
      </c>
      <c r="V20" s="455">
        <f>V9-V17</f>
        <v>54440717</v>
      </c>
      <c r="W20" s="292"/>
    </row>
    <row r="21" spans="1:24" ht="18" thickTop="1" thickBot="1">
      <c r="A21" s="288" t="s">
        <v>1993</v>
      </c>
      <c r="B21" s="279"/>
      <c r="C21" s="296" t="s">
        <v>7</v>
      </c>
      <c r="D21" s="297">
        <f>D3-D11</f>
        <v>0</v>
      </c>
      <c r="E21" s="280"/>
      <c r="F21" s="461" t="s">
        <v>7</v>
      </c>
      <c r="G21" s="455">
        <f>G3-G11</f>
        <v>9306279</v>
      </c>
      <c r="H21" s="346"/>
      <c r="I21" s="461" t="s">
        <v>7</v>
      </c>
      <c r="J21" s="455">
        <f>J3-J11</f>
        <v>40893876</v>
      </c>
      <c r="K21" s="344"/>
      <c r="L21" s="461" t="s">
        <v>7</v>
      </c>
      <c r="M21" s="455">
        <f>M3-M11</f>
        <v>6667523</v>
      </c>
      <c r="N21" s="344"/>
      <c r="O21" s="461" t="s">
        <v>7</v>
      </c>
      <c r="P21" s="455">
        <f>P3-P11</f>
        <v>607743</v>
      </c>
      <c r="Q21" s="345"/>
      <c r="R21" s="461" t="s">
        <v>7</v>
      </c>
      <c r="S21" s="455">
        <f>S3-S11</f>
        <v>1500983</v>
      </c>
      <c r="T21" s="345"/>
      <c r="U21" s="461" t="s">
        <v>7</v>
      </c>
      <c r="V21" s="455">
        <f>V3-V11</f>
        <v>58976404</v>
      </c>
      <c r="W21" s="292"/>
      <c r="X21" s="298"/>
    </row>
    <row r="22" spans="1:24" ht="18" thickTop="1" thickBot="1">
      <c r="A22" s="288" t="s">
        <v>1122</v>
      </c>
      <c r="B22" s="279"/>
      <c r="C22" s="296" t="s">
        <v>7</v>
      </c>
      <c r="D22" s="297">
        <f>D6-D14</f>
        <v>0</v>
      </c>
      <c r="E22" s="280"/>
      <c r="F22" s="461" t="s">
        <v>7</v>
      </c>
      <c r="G22" s="455">
        <f>G6-G14</f>
        <v>15554101</v>
      </c>
      <c r="H22" s="346"/>
      <c r="I22" s="461" t="s">
        <v>7</v>
      </c>
      <c r="J22" s="455">
        <f>J6-J14</f>
        <v>31231592</v>
      </c>
      <c r="K22" s="344"/>
      <c r="L22" s="461" t="s">
        <v>7</v>
      </c>
      <c r="M22" s="455">
        <f>M6-M14</f>
        <v>6969756</v>
      </c>
      <c r="N22" s="344"/>
      <c r="O22" s="461" t="s">
        <v>7</v>
      </c>
      <c r="P22" s="455">
        <f>P6-P14</f>
        <v>452796</v>
      </c>
      <c r="Q22" s="345"/>
      <c r="R22" s="461" t="s">
        <v>7</v>
      </c>
      <c r="S22" s="455">
        <f>S6-S14</f>
        <v>1692812</v>
      </c>
      <c r="T22" s="345"/>
      <c r="U22" s="461" t="s">
        <v>7</v>
      </c>
      <c r="V22" s="455">
        <f>V6-V14</f>
        <v>55901057</v>
      </c>
      <c r="W22" s="292"/>
      <c r="X22" s="298"/>
    </row>
    <row r="23" spans="1:24" ht="17.25" thickTop="1"/>
  </sheetData>
  <mergeCells count="7">
    <mergeCell ref="C1:D1"/>
    <mergeCell ref="F1:G1"/>
    <mergeCell ref="L1:M1"/>
    <mergeCell ref="R1:S1"/>
    <mergeCell ref="U1:V1"/>
    <mergeCell ref="O1:P1"/>
    <mergeCell ref="I1:J1"/>
  </mergeCells>
  <phoneticPr fontId="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89F84-D6F7-4F7D-8224-95F086BA1186}">
  <sheetPr>
    <tabColor rgb="FFFFFF00"/>
  </sheetPr>
  <dimension ref="A1:J386"/>
  <sheetViews>
    <sheetView topLeftCell="A106" workbookViewId="0">
      <selection activeCell="G24" sqref="G24"/>
    </sheetView>
  </sheetViews>
  <sheetFormatPr defaultRowHeight="21"/>
  <cols>
    <col min="1" max="1" width="11.875" style="314" customWidth="1"/>
    <col min="2" max="2" width="27.5" style="314" customWidth="1"/>
    <col min="3" max="6" width="19.125" style="314" bestFit="1" customWidth="1"/>
    <col min="7" max="7" width="17.625" style="314" bestFit="1" customWidth="1"/>
    <col min="8" max="10" width="19.125" style="314" bestFit="1" customWidth="1"/>
  </cols>
  <sheetData>
    <row r="1" spans="1:10">
      <c r="A1" s="314" t="s">
        <v>1673</v>
      </c>
      <c r="B1" s="314" t="s">
        <v>1674</v>
      </c>
      <c r="C1" s="314" t="s">
        <v>1675</v>
      </c>
      <c r="D1" s="314" t="s">
        <v>1676</v>
      </c>
      <c r="E1" s="314" t="s">
        <v>1677</v>
      </c>
      <c r="F1" s="314" t="s">
        <v>1678</v>
      </c>
      <c r="G1" s="314" t="s">
        <v>1679</v>
      </c>
      <c r="H1" s="314" t="s">
        <v>1680</v>
      </c>
      <c r="I1" s="314" t="s">
        <v>1681</v>
      </c>
      <c r="J1" s="314" t="s">
        <v>1682</v>
      </c>
    </row>
    <row r="2" spans="1:10">
      <c r="A2" s="314" t="s">
        <v>1177</v>
      </c>
      <c r="B2" s="314" t="s">
        <v>1178</v>
      </c>
      <c r="C2" s="314">
        <v>0</v>
      </c>
      <c r="D2" s="314">
        <v>0</v>
      </c>
      <c r="E2" s="314">
        <v>0</v>
      </c>
      <c r="F2" s="314">
        <v>0</v>
      </c>
      <c r="G2" s="314">
        <v>0</v>
      </c>
      <c r="H2" s="314">
        <v>0</v>
      </c>
      <c r="I2" s="314">
        <v>0</v>
      </c>
      <c r="J2" s="314">
        <v>0</v>
      </c>
    </row>
    <row r="3" spans="1:10">
      <c r="A3" s="314" t="s">
        <v>1179</v>
      </c>
      <c r="B3" s="314" t="s">
        <v>101</v>
      </c>
      <c r="C3" s="314">
        <v>0</v>
      </c>
      <c r="D3" s="314">
        <v>0</v>
      </c>
      <c r="E3" s="314">
        <v>0</v>
      </c>
      <c r="F3" s="314">
        <v>0</v>
      </c>
      <c r="G3" s="314">
        <v>0</v>
      </c>
      <c r="H3" s="314">
        <v>0</v>
      </c>
      <c r="I3" s="314">
        <v>0</v>
      </c>
      <c r="J3" s="314">
        <v>0</v>
      </c>
    </row>
    <row r="4" spans="1:10">
      <c r="A4" s="314" t="s">
        <v>1180</v>
      </c>
      <c r="B4" s="314" t="s">
        <v>1181</v>
      </c>
      <c r="C4" s="314">
        <v>36270</v>
      </c>
      <c r="D4" s="314">
        <v>0</v>
      </c>
      <c r="E4" s="314">
        <v>738871</v>
      </c>
      <c r="F4" s="314">
        <v>738931</v>
      </c>
      <c r="G4" s="314">
        <v>0</v>
      </c>
      <c r="H4" s="314">
        <v>60</v>
      </c>
      <c r="I4" s="314">
        <v>36210</v>
      </c>
      <c r="J4" s="314">
        <v>0</v>
      </c>
    </row>
    <row r="5" spans="1:10">
      <c r="A5" s="314" t="s">
        <v>1182</v>
      </c>
      <c r="B5" s="314" t="s">
        <v>269</v>
      </c>
      <c r="C5" s="314">
        <v>0</v>
      </c>
      <c r="D5" s="314">
        <v>0</v>
      </c>
      <c r="E5" s="314">
        <v>15</v>
      </c>
      <c r="F5" s="314">
        <v>15</v>
      </c>
      <c r="G5" s="314">
        <v>0</v>
      </c>
      <c r="H5" s="314">
        <v>0</v>
      </c>
      <c r="I5" s="314">
        <v>0</v>
      </c>
      <c r="J5" s="314">
        <v>0</v>
      </c>
    </row>
    <row r="6" spans="1:10">
      <c r="A6" s="314" t="s">
        <v>1183</v>
      </c>
      <c r="B6" s="314" t="s">
        <v>1184</v>
      </c>
      <c r="C6" s="314">
        <v>4171035</v>
      </c>
      <c r="D6" s="314">
        <v>0</v>
      </c>
      <c r="E6" s="314">
        <v>45709621</v>
      </c>
      <c r="F6" s="314">
        <v>47826998</v>
      </c>
      <c r="G6" s="314">
        <v>0</v>
      </c>
      <c r="H6" s="314">
        <v>2117377</v>
      </c>
      <c r="I6" s="314">
        <v>2053658</v>
      </c>
      <c r="J6" s="314">
        <v>0</v>
      </c>
    </row>
    <row r="7" spans="1:10">
      <c r="A7" s="314" t="s">
        <v>1185</v>
      </c>
      <c r="B7" s="314" t="s">
        <v>1186</v>
      </c>
      <c r="C7" s="314">
        <v>4459</v>
      </c>
      <c r="D7" s="314">
        <v>0</v>
      </c>
      <c r="E7" s="314">
        <v>303776</v>
      </c>
      <c r="F7" s="314">
        <v>300000</v>
      </c>
      <c r="G7" s="314">
        <v>3776</v>
      </c>
      <c r="H7" s="314">
        <v>0</v>
      </c>
      <c r="I7" s="314">
        <v>8235</v>
      </c>
      <c r="J7" s="314">
        <v>0</v>
      </c>
    </row>
    <row r="8" spans="1:10">
      <c r="A8" s="314" t="s">
        <v>1187</v>
      </c>
      <c r="B8" s="314" t="s">
        <v>1188</v>
      </c>
      <c r="C8" s="314">
        <v>3376184</v>
      </c>
      <c r="D8" s="314">
        <v>0</v>
      </c>
      <c r="E8" s="314">
        <v>48273859</v>
      </c>
      <c r="F8" s="314">
        <v>51558215</v>
      </c>
      <c r="G8" s="314">
        <v>0</v>
      </c>
      <c r="H8" s="314">
        <v>3284356</v>
      </c>
      <c r="I8" s="314">
        <v>91828</v>
      </c>
      <c r="J8" s="314">
        <v>0</v>
      </c>
    </row>
    <row r="9" spans="1:10">
      <c r="A9" s="314" t="s">
        <v>1189</v>
      </c>
      <c r="B9" s="314" t="s">
        <v>1190</v>
      </c>
      <c r="C9" s="314">
        <v>0</v>
      </c>
      <c r="D9" s="314">
        <v>0</v>
      </c>
      <c r="E9" s="314">
        <v>5017388</v>
      </c>
      <c r="F9" s="314">
        <v>4856010</v>
      </c>
      <c r="G9" s="314">
        <v>161378</v>
      </c>
      <c r="H9" s="314">
        <v>0</v>
      </c>
      <c r="I9" s="314">
        <v>161378</v>
      </c>
      <c r="J9" s="314">
        <v>0</v>
      </c>
    </row>
    <row r="10" spans="1:10">
      <c r="A10" s="314" t="s">
        <v>1191</v>
      </c>
      <c r="B10" s="314" t="s">
        <v>1192</v>
      </c>
      <c r="C10" s="314">
        <v>631</v>
      </c>
      <c r="D10" s="314">
        <v>0</v>
      </c>
      <c r="E10" s="314">
        <v>0</v>
      </c>
      <c r="F10" s="314">
        <v>0</v>
      </c>
      <c r="G10" s="314">
        <v>0</v>
      </c>
      <c r="H10" s="314">
        <v>0</v>
      </c>
      <c r="I10" s="314">
        <v>631</v>
      </c>
      <c r="J10" s="314">
        <v>0</v>
      </c>
    </row>
    <row r="11" spans="1:10">
      <c r="A11" s="314" t="s">
        <v>1193</v>
      </c>
      <c r="B11" s="314" t="s">
        <v>1194</v>
      </c>
      <c r="C11" s="314">
        <v>0</v>
      </c>
      <c r="D11" s="314">
        <v>0</v>
      </c>
      <c r="E11" s="314">
        <v>12076597</v>
      </c>
      <c r="F11" s="314">
        <v>9019954</v>
      </c>
      <c r="G11" s="314">
        <v>3056643</v>
      </c>
      <c r="H11" s="314">
        <v>0</v>
      </c>
      <c r="I11" s="314">
        <v>3056643</v>
      </c>
      <c r="J11" s="314">
        <v>0</v>
      </c>
    </row>
    <row r="12" spans="1:10">
      <c r="A12" s="314" t="s">
        <v>1195</v>
      </c>
      <c r="B12" s="314" t="s">
        <v>273</v>
      </c>
      <c r="C12" s="314">
        <v>0</v>
      </c>
      <c r="D12" s="314">
        <v>0</v>
      </c>
      <c r="E12" s="314">
        <v>0</v>
      </c>
      <c r="F12" s="314">
        <v>0</v>
      </c>
      <c r="G12" s="314">
        <v>0</v>
      </c>
      <c r="H12" s="314">
        <v>0</v>
      </c>
      <c r="I12" s="314">
        <v>0</v>
      </c>
      <c r="J12" s="314">
        <v>0</v>
      </c>
    </row>
    <row r="13" spans="1:10">
      <c r="A13" s="314" t="s">
        <v>1196</v>
      </c>
      <c r="B13" s="314" t="s">
        <v>1683</v>
      </c>
      <c r="C13" s="314">
        <v>0</v>
      </c>
      <c r="D13" s="314">
        <v>0</v>
      </c>
      <c r="E13" s="314">
        <v>0</v>
      </c>
      <c r="F13" s="314">
        <v>0</v>
      </c>
      <c r="G13" s="314">
        <v>0</v>
      </c>
      <c r="H13" s="314">
        <v>0</v>
      </c>
      <c r="I13" s="314">
        <v>0</v>
      </c>
      <c r="J13" s="314">
        <v>0</v>
      </c>
    </row>
    <row r="14" spans="1:10">
      <c r="A14" s="314" t="s">
        <v>1197</v>
      </c>
      <c r="B14" s="314" t="s">
        <v>86</v>
      </c>
      <c r="C14" s="314">
        <v>3205259</v>
      </c>
      <c r="D14" s="314">
        <v>0</v>
      </c>
      <c r="E14" s="314">
        <v>29467792</v>
      </c>
      <c r="F14" s="314">
        <v>28075325</v>
      </c>
      <c r="G14" s="314">
        <v>1392467</v>
      </c>
      <c r="H14" s="314">
        <v>0</v>
      </c>
      <c r="I14" s="314">
        <v>4597726</v>
      </c>
      <c r="J14" s="314">
        <v>0</v>
      </c>
    </row>
    <row r="15" spans="1:10">
      <c r="A15" s="314" t="s">
        <v>1198</v>
      </c>
      <c r="B15" s="314" t="s">
        <v>1684</v>
      </c>
      <c r="C15" s="314">
        <v>0</v>
      </c>
      <c r="D15" s="314">
        <v>0</v>
      </c>
      <c r="E15" s="314">
        <v>0</v>
      </c>
      <c r="F15" s="314">
        <v>0</v>
      </c>
      <c r="G15" s="314">
        <v>0</v>
      </c>
      <c r="H15" s="314">
        <v>0</v>
      </c>
      <c r="I15" s="314">
        <v>0</v>
      </c>
      <c r="J15" s="314">
        <v>0</v>
      </c>
    </row>
    <row r="16" spans="1:10">
      <c r="A16" s="314" t="s">
        <v>1199</v>
      </c>
      <c r="B16" s="314" t="s">
        <v>87</v>
      </c>
      <c r="C16" s="314">
        <v>7243970</v>
      </c>
      <c r="D16" s="314">
        <v>0</v>
      </c>
      <c r="E16" s="314">
        <v>56138414</v>
      </c>
      <c r="F16" s="314">
        <v>49937404</v>
      </c>
      <c r="G16" s="314">
        <v>6201010</v>
      </c>
      <c r="H16" s="314">
        <v>0</v>
      </c>
      <c r="I16" s="314">
        <v>13444980</v>
      </c>
      <c r="J16" s="314">
        <v>0</v>
      </c>
    </row>
    <row r="17" spans="1:10">
      <c r="A17" s="314" t="s">
        <v>1200</v>
      </c>
      <c r="B17" s="314" t="s">
        <v>1685</v>
      </c>
      <c r="C17" s="314">
        <v>0</v>
      </c>
      <c r="D17" s="314">
        <v>0</v>
      </c>
      <c r="E17" s="314">
        <v>0</v>
      </c>
      <c r="F17" s="314">
        <v>0</v>
      </c>
      <c r="G17" s="314">
        <v>0</v>
      </c>
      <c r="H17" s="314">
        <v>0</v>
      </c>
      <c r="I17" s="314">
        <v>0</v>
      </c>
      <c r="J17" s="314">
        <v>0</v>
      </c>
    </row>
    <row r="18" spans="1:10">
      <c r="A18" s="314" t="s">
        <v>1201</v>
      </c>
      <c r="B18" s="314" t="s">
        <v>1686</v>
      </c>
      <c r="C18" s="314">
        <v>0</v>
      </c>
      <c r="D18" s="314">
        <v>0</v>
      </c>
      <c r="E18" s="314">
        <v>0</v>
      </c>
      <c r="F18" s="314">
        <v>0</v>
      </c>
      <c r="G18" s="314">
        <v>0</v>
      </c>
      <c r="H18" s="314">
        <v>0</v>
      </c>
      <c r="I18" s="314">
        <v>0</v>
      </c>
      <c r="J18" s="314">
        <v>0</v>
      </c>
    </row>
    <row r="19" spans="1:10">
      <c r="A19" s="314" t="s">
        <v>1202</v>
      </c>
      <c r="B19" s="314" t="s">
        <v>1687</v>
      </c>
      <c r="C19" s="314">
        <v>0</v>
      </c>
      <c r="D19" s="314">
        <v>0</v>
      </c>
      <c r="E19" s="314">
        <v>0</v>
      </c>
      <c r="F19" s="314">
        <v>0</v>
      </c>
      <c r="G19" s="314">
        <v>0</v>
      </c>
      <c r="H19" s="314">
        <v>0</v>
      </c>
      <c r="I19" s="314">
        <v>0</v>
      </c>
      <c r="J19" s="314">
        <v>0</v>
      </c>
    </row>
    <row r="20" spans="1:10">
      <c r="A20" s="314" t="s">
        <v>1203</v>
      </c>
      <c r="B20" s="314" t="s">
        <v>1688</v>
      </c>
      <c r="C20" s="314">
        <v>0</v>
      </c>
      <c r="D20" s="314">
        <v>0</v>
      </c>
      <c r="E20" s="314">
        <v>0</v>
      </c>
      <c r="F20" s="314">
        <v>0</v>
      </c>
      <c r="G20" s="314">
        <v>0</v>
      </c>
      <c r="H20" s="314">
        <v>0</v>
      </c>
      <c r="I20" s="314">
        <v>0</v>
      </c>
      <c r="J20" s="314">
        <v>0</v>
      </c>
    </row>
    <row r="21" spans="1:10">
      <c r="A21" s="314" t="s">
        <v>1204</v>
      </c>
      <c r="B21" s="314" t="s">
        <v>1689</v>
      </c>
      <c r="C21" s="314">
        <v>0</v>
      </c>
      <c r="D21" s="314">
        <v>0</v>
      </c>
      <c r="E21" s="314">
        <v>0</v>
      </c>
      <c r="F21" s="314">
        <v>0</v>
      </c>
      <c r="G21" s="314">
        <v>0</v>
      </c>
      <c r="H21" s="314">
        <v>0</v>
      </c>
      <c r="I21" s="314">
        <v>0</v>
      </c>
      <c r="J21" s="314">
        <v>0</v>
      </c>
    </row>
    <row r="22" spans="1:10">
      <c r="A22" s="314" t="s">
        <v>1205</v>
      </c>
      <c r="B22" s="314" t="s">
        <v>88</v>
      </c>
      <c r="C22" s="314">
        <v>1197720</v>
      </c>
      <c r="D22" s="314">
        <v>0</v>
      </c>
      <c r="E22" s="314">
        <v>38087</v>
      </c>
      <c r="F22" s="314">
        <v>207533</v>
      </c>
      <c r="G22" s="314">
        <v>0</v>
      </c>
      <c r="H22" s="314">
        <v>169446</v>
      </c>
      <c r="I22" s="314">
        <v>1028274</v>
      </c>
      <c r="J22" s="314">
        <v>0</v>
      </c>
    </row>
    <row r="23" spans="1:10">
      <c r="A23" s="314" t="s">
        <v>1206</v>
      </c>
      <c r="B23" s="314" t="s">
        <v>89</v>
      </c>
      <c r="C23" s="314">
        <v>0</v>
      </c>
      <c r="D23" s="314">
        <v>0</v>
      </c>
      <c r="E23" s="314">
        <v>0</v>
      </c>
      <c r="F23" s="314">
        <v>0</v>
      </c>
      <c r="G23" s="314">
        <v>0</v>
      </c>
      <c r="H23" s="314">
        <v>0</v>
      </c>
      <c r="I23" s="314">
        <v>0</v>
      </c>
      <c r="J23" s="314">
        <v>0</v>
      </c>
    </row>
    <row r="24" spans="1:10">
      <c r="A24" s="314" t="s">
        <v>1207</v>
      </c>
      <c r="B24" s="314" t="s">
        <v>1690</v>
      </c>
      <c r="C24" s="314">
        <v>0</v>
      </c>
      <c r="D24" s="314">
        <v>0</v>
      </c>
      <c r="E24" s="314">
        <v>0</v>
      </c>
      <c r="F24" s="314">
        <v>0</v>
      </c>
      <c r="G24" s="314">
        <v>0</v>
      </c>
      <c r="H24" s="314">
        <v>0</v>
      </c>
      <c r="I24" s="314">
        <v>0</v>
      </c>
      <c r="J24" s="314">
        <v>0</v>
      </c>
    </row>
    <row r="25" spans="1:10">
      <c r="A25" s="314" t="s">
        <v>1208</v>
      </c>
      <c r="B25" s="314" t="s">
        <v>1691</v>
      </c>
      <c r="C25" s="314">
        <v>0</v>
      </c>
      <c r="D25" s="314">
        <v>0</v>
      </c>
      <c r="E25" s="314">
        <v>0</v>
      </c>
      <c r="F25" s="314">
        <v>0</v>
      </c>
      <c r="G25" s="314">
        <v>0</v>
      </c>
      <c r="H25" s="314">
        <v>0</v>
      </c>
      <c r="I25" s="314">
        <v>0</v>
      </c>
      <c r="J25" s="314">
        <v>0</v>
      </c>
    </row>
    <row r="26" spans="1:10">
      <c r="A26" s="314" t="s">
        <v>1209</v>
      </c>
      <c r="B26" s="314" t="s">
        <v>1692</v>
      </c>
      <c r="C26" s="314">
        <v>0</v>
      </c>
      <c r="D26" s="314">
        <v>0</v>
      </c>
      <c r="E26" s="314">
        <v>0</v>
      </c>
      <c r="F26" s="314">
        <v>0</v>
      </c>
      <c r="G26" s="314">
        <v>0</v>
      </c>
      <c r="H26" s="314">
        <v>0</v>
      </c>
      <c r="I26" s="314">
        <v>0</v>
      </c>
      <c r="J26" s="314">
        <v>0</v>
      </c>
    </row>
    <row r="27" spans="1:10">
      <c r="A27" s="314" t="s">
        <v>1210</v>
      </c>
      <c r="B27" s="314" t="s">
        <v>1211</v>
      </c>
      <c r="C27" s="314">
        <v>2450275</v>
      </c>
      <c r="D27" s="314">
        <v>0</v>
      </c>
      <c r="E27" s="314">
        <v>12535766</v>
      </c>
      <c r="F27" s="314">
        <v>9574501</v>
      </c>
      <c r="G27" s="314">
        <v>2961265</v>
      </c>
      <c r="H27" s="314">
        <v>0</v>
      </c>
      <c r="I27" s="314">
        <v>5411540</v>
      </c>
      <c r="J27" s="314">
        <v>0</v>
      </c>
    </row>
    <row r="28" spans="1:10">
      <c r="A28" s="314" t="s">
        <v>1212</v>
      </c>
      <c r="B28" s="314" t="s">
        <v>1693</v>
      </c>
      <c r="C28" s="314">
        <v>0</v>
      </c>
      <c r="D28" s="314">
        <v>0</v>
      </c>
      <c r="E28" s="314">
        <v>0</v>
      </c>
      <c r="F28" s="314">
        <v>0</v>
      </c>
      <c r="G28" s="314">
        <v>0</v>
      </c>
      <c r="H28" s="314">
        <v>0</v>
      </c>
      <c r="I28" s="314">
        <v>0</v>
      </c>
      <c r="J28" s="314">
        <v>0</v>
      </c>
    </row>
    <row r="29" spans="1:10">
      <c r="A29" s="314" t="s">
        <v>1213</v>
      </c>
      <c r="B29" s="314" t="s">
        <v>1694</v>
      </c>
      <c r="C29" s="314">
        <v>0</v>
      </c>
      <c r="D29" s="314">
        <v>0</v>
      </c>
      <c r="E29" s="314">
        <v>0</v>
      </c>
      <c r="F29" s="314">
        <v>0</v>
      </c>
      <c r="G29" s="314">
        <v>0</v>
      </c>
      <c r="H29" s="314">
        <v>0</v>
      </c>
      <c r="I29" s="314">
        <v>0</v>
      </c>
      <c r="J29" s="314">
        <v>0</v>
      </c>
    </row>
    <row r="30" spans="1:10">
      <c r="A30" s="314" t="s">
        <v>1214</v>
      </c>
      <c r="B30" s="314" t="s">
        <v>1695</v>
      </c>
      <c r="C30" s="314">
        <v>0</v>
      </c>
      <c r="D30" s="314">
        <v>0</v>
      </c>
      <c r="E30" s="314">
        <v>0</v>
      </c>
      <c r="F30" s="314">
        <v>0</v>
      </c>
      <c r="G30" s="314">
        <v>0</v>
      </c>
      <c r="H30" s="314">
        <v>0</v>
      </c>
      <c r="I30" s="314">
        <v>0</v>
      </c>
      <c r="J30" s="314">
        <v>0</v>
      </c>
    </row>
    <row r="31" spans="1:10">
      <c r="A31" s="314" t="s">
        <v>1215</v>
      </c>
      <c r="B31" s="314" t="s">
        <v>1696</v>
      </c>
      <c r="C31" s="314">
        <v>0</v>
      </c>
      <c r="D31" s="314">
        <v>0</v>
      </c>
      <c r="E31" s="314">
        <v>0</v>
      </c>
      <c r="F31" s="314">
        <v>0</v>
      </c>
      <c r="G31" s="314">
        <v>0</v>
      </c>
      <c r="H31" s="314">
        <v>0</v>
      </c>
      <c r="I31" s="314">
        <v>0</v>
      </c>
      <c r="J31" s="314">
        <v>0</v>
      </c>
    </row>
    <row r="32" spans="1:10">
      <c r="A32" s="314" t="s">
        <v>1216</v>
      </c>
      <c r="B32" s="314" t="s">
        <v>91</v>
      </c>
      <c r="C32" s="314">
        <v>0</v>
      </c>
      <c r="D32" s="314">
        <v>0</v>
      </c>
      <c r="E32" s="314">
        <v>0</v>
      </c>
      <c r="F32" s="314">
        <v>0</v>
      </c>
      <c r="G32" s="314">
        <v>0</v>
      </c>
      <c r="H32" s="314">
        <v>0</v>
      </c>
      <c r="I32" s="314">
        <v>0</v>
      </c>
      <c r="J32" s="314">
        <v>0</v>
      </c>
    </row>
    <row r="33" spans="1:10">
      <c r="A33" s="314" t="s">
        <v>1217</v>
      </c>
      <c r="B33" s="314" t="s">
        <v>1218</v>
      </c>
      <c r="C33" s="314">
        <v>827848</v>
      </c>
      <c r="D33" s="314">
        <v>0</v>
      </c>
      <c r="E33" s="314">
        <v>395327</v>
      </c>
      <c r="F33" s="314">
        <v>827848</v>
      </c>
      <c r="G33" s="314">
        <v>0</v>
      </c>
      <c r="H33" s="314">
        <v>432521</v>
      </c>
      <c r="I33" s="314">
        <v>395327</v>
      </c>
      <c r="J33" s="314">
        <v>0</v>
      </c>
    </row>
    <row r="34" spans="1:10">
      <c r="A34" s="314" t="s">
        <v>1219</v>
      </c>
      <c r="B34" s="314" t="s">
        <v>1697</v>
      </c>
      <c r="C34" s="314">
        <v>0</v>
      </c>
      <c r="D34" s="314">
        <v>0</v>
      </c>
      <c r="E34" s="314">
        <v>0</v>
      </c>
      <c r="F34" s="314">
        <v>0</v>
      </c>
      <c r="G34" s="314">
        <v>0</v>
      </c>
      <c r="H34" s="314">
        <v>0</v>
      </c>
      <c r="I34" s="314">
        <v>0</v>
      </c>
      <c r="J34" s="314">
        <v>0</v>
      </c>
    </row>
    <row r="35" spans="1:10">
      <c r="A35" s="314" t="s">
        <v>1220</v>
      </c>
      <c r="B35" s="314" t="s">
        <v>1698</v>
      </c>
      <c r="C35" s="314">
        <v>0</v>
      </c>
      <c r="D35" s="314">
        <v>0</v>
      </c>
      <c r="E35" s="314">
        <v>0</v>
      </c>
      <c r="F35" s="314">
        <v>0</v>
      </c>
      <c r="G35" s="314">
        <v>0</v>
      </c>
      <c r="H35" s="314">
        <v>0</v>
      </c>
      <c r="I35" s="314">
        <v>0</v>
      </c>
      <c r="J35" s="314">
        <v>0</v>
      </c>
    </row>
    <row r="36" spans="1:10">
      <c r="A36" s="314" t="s">
        <v>1221</v>
      </c>
      <c r="B36" s="314" t="s">
        <v>1699</v>
      </c>
      <c r="C36" s="314">
        <v>16888</v>
      </c>
      <c r="D36" s="314">
        <v>0</v>
      </c>
      <c r="E36" s="314">
        <v>1370130</v>
      </c>
      <c r="F36" s="314">
        <v>1387018</v>
      </c>
      <c r="G36" s="314">
        <v>0</v>
      </c>
      <c r="H36" s="314">
        <v>16888</v>
      </c>
      <c r="I36" s="314">
        <v>0</v>
      </c>
      <c r="J36" s="314">
        <v>0</v>
      </c>
    </row>
    <row r="37" spans="1:10">
      <c r="A37" s="314" t="s">
        <v>1222</v>
      </c>
      <c r="B37" s="314" t="s">
        <v>1700</v>
      </c>
      <c r="C37" s="314">
        <v>509358</v>
      </c>
      <c r="D37" s="314">
        <v>0</v>
      </c>
      <c r="E37" s="314">
        <v>852840</v>
      </c>
      <c r="F37" s="314">
        <v>1362198</v>
      </c>
      <c r="G37" s="314">
        <v>0</v>
      </c>
      <c r="H37" s="314">
        <v>509358</v>
      </c>
      <c r="I37" s="314">
        <v>0</v>
      </c>
      <c r="J37" s="314">
        <v>0</v>
      </c>
    </row>
    <row r="38" spans="1:10">
      <c r="A38" s="314" t="s">
        <v>1223</v>
      </c>
      <c r="B38" s="314" t="s">
        <v>1701</v>
      </c>
      <c r="C38" s="314">
        <v>0</v>
      </c>
      <c r="D38" s="314">
        <v>0</v>
      </c>
      <c r="E38" s="314">
        <v>0</v>
      </c>
      <c r="F38" s="314">
        <v>0</v>
      </c>
      <c r="G38" s="314">
        <v>0</v>
      </c>
      <c r="H38" s="314">
        <v>0</v>
      </c>
      <c r="I38" s="314">
        <v>0</v>
      </c>
      <c r="J38" s="314">
        <v>0</v>
      </c>
    </row>
    <row r="39" spans="1:10">
      <c r="A39" s="314" t="s">
        <v>1224</v>
      </c>
      <c r="B39" s="314" t="s">
        <v>167</v>
      </c>
      <c r="C39" s="314">
        <v>0</v>
      </c>
      <c r="D39" s="314">
        <v>0</v>
      </c>
      <c r="E39" s="314">
        <v>0</v>
      </c>
      <c r="F39" s="314">
        <v>0</v>
      </c>
      <c r="G39" s="314">
        <v>0</v>
      </c>
      <c r="H39" s="314">
        <v>0</v>
      </c>
      <c r="I39" s="314">
        <v>0</v>
      </c>
      <c r="J39" s="314">
        <v>0</v>
      </c>
    </row>
    <row r="40" spans="1:10">
      <c r="A40" s="314" t="s">
        <v>1225</v>
      </c>
      <c r="B40" s="314" t="s">
        <v>168</v>
      </c>
      <c r="C40" s="314">
        <v>0</v>
      </c>
      <c r="D40" s="314">
        <v>0</v>
      </c>
      <c r="E40" s="314">
        <v>0</v>
      </c>
      <c r="F40" s="314">
        <v>0</v>
      </c>
      <c r="G40" s="314">
        <v>0</v>
      </c>
      <c r="H40" s="314">
        <v>0</v>
      </c>
      <c r="I40" s="314">
        <v>0</v>
      </c>
      <c r="J40" s="314">
        <v>0</v>
      </c>
    </row>
    <row r="41" spans="1:10">
      <c r="A41" s="314" t="s">
        <v>1226</v>
      </c>
      <c r="B41" s="314" t="s">
        <v>1702</v>
      </c>
      <c r="C41" s="314">
        <v>0</v>
      </c>
      <c r="D41" s="314">
        <v>0</v>
      </c>
      <c r="E41" s="314">
        <v>0</v>
      </c>
      <c r="F41" s="314">
        <v>0</v>
      </c>
      <c r="G41" s="314">
        <v>0</v>
      </c>
      <c r="H41" s="314">
        <v>0</v>
      </c>
      <c r="I41" s="314">
        <v>0</v>
      </c>
      <c r="J41" s="314">
        <v>0</v>
      </c>
    </row>
    <row r="42" spans="1:10">
      <c r="A42" s="314" t="s">
        <v>1227</v>
      </c>
      <c r="B42" s="314" t="s">
        <v>1703</v>
      </c>
      <c r="C42" s="314">
        <v>0</v>
      </c>
      <c r="D42" s="314">
        <v>0</v>
      </c>
      <c r="E42" s="314">
        <v>0</v>
      </c>
      <c r="F42" s="314">
        <v>0</v>
      </c>
      <c r="G42" s="314">
        <v>0</v>
      </c>
      <c r="H42" s="314">
        <v>0</v>
      </c>
      <c r="I42" s="314">
        <v>0</v>
      </c>
      <c r="J42" s="314">
        <v>0</v>
      </c>
    </row>
    <row r="43" spans="1:10">
      <c r="A43" s="314" t="s">
        <v>1228</v>
      </c>
      <c r="B43" s="314" t="s">
        <v>1704</v>
      </c>
      <c r="C43" s="314">
        <v>0</v>
      </c>
      <c r="D43" s="314">
        <v>0</v>
      </c>
      <c r="E43" s="314">
        <v>0</v>
      </c>
      <c r="F43" s="314">
        <v>0</v>
      </c>
      <c r="G43" s="314">
        <v>0</v>
      </c>
      <c r="H43" s="314">
        <v>0</v>
      </c>
      <c r="I43" s="314">
        <v>0</v>
      </c>
      <c r="J43" s="314">
        <v>0</v>
      </c>
    </row>
    <row r="44" spans="1:10">
      <c r="A44" s="314" t="s">
        <v>1229</v>
      </c>
      <c r="B44" s="314" t="s">
        <v>1705</v>
      </c>
      <c r="C44" s="314">
        <v>0</v>
      </c>
      <c r="D44" s="314">
        <v>0</v>
      </c>
      <c r="E44" s="314">
        <v>0</v>
      </c>
      <c r="F44" s="314">
        <v>0</v>
      </c>
      <c r="G44" s="314">
        <v>0</v>
      </c>
      <c r="H44" s="314">
        <v>0</v>
      </c>
      <c r="I44" s="314">
        <v>0</v>
      </c>
      <c r="J44" s="314">
        <v>0</v>
      </c>
    </row>
    <row r="45" spans="1:10">
      <c r="A45" s="314" t="s">
        <v>1230</v>
      </c>
      <c r="B45" s="314" t="s">
        <v>94</v>
      </c>
      <c r="C45" s="314">
        <v>0</v>
      </c>
      <c r="D45" s="314">
        <v>0</v>
      </c>
      <c r="E45" s="314">
        <v>0</v>
      </c>
      <c r="F45" s="314">
        <v>0</v>
      </c>
      <c r="G45" s="314">
        <v>0</v>
      </c>
      <c r="H45" s="314">
        <v>0</v>
      </c>
      <c r="I45" s="314">
        <v>0</v>
      </c>
      <c r="J45" s="314">
        <v>0</v>
      </c>
    </row>
    <row r="46" spans="1:10">
      <c r="A46" s="314" t="s">
        <v>1231</v>
      </c>
      <c r="B46" s="314" t="s">
        <v>1232</v>
      </c>
      <c r="C46" s="314">
        <v>20922</v>
      </c>
      <c r="D46" s="314">
        <v>0</v>
      </c>
      <c r="E46" s="314">
        <v>4071812</v>
      </c>
      <c r="F46" s="314">
        <v>3806826</v>
      </c>
      <c r="G46" s="314">
        <v>264986</v>
      </c>
      <c r="H46" s="314">
        <v>0</v>
      </c>
      <c r="I46" s="314">
        <v>285908</v>
      </c>
      <c r="J46" s="314">
        <v>0</v>
      </c>
    </row>
    <row r="47" spans="1:10">
      <c r="A47" s="314" t="s">
        <v>343</v>
      </c>
      <c r="B47" s="314" t="s">
        <v>1706</v>
      </c>
      <c r="C47" s="314">
        <v>0</v>
      </c>
      <c r="D47" s="314">
        <v>0</v>
      </c>
      <c r="E47" s="314">
        <v>0</v>
      </c>
      <c r="F47" s="314">
        <v>0</v>
      </c>
      <c r="G47" s="314">
        <v>0</v>
      </c>
      <c r="H47" s="314">
        <v>0</v>
      </c>
      <c r="I47" s="314">
        <v>0</v>
      </c>
      <c r="J47" s="314">
        <v>0</v>
      </c>
    </row>
    <row r="48" spans="1:10">
      <c r="A48" s="314" t="s">
        <v>345</v>
      </c>
      <c r="B48" s="314" t="s">
        <v>1707</v>
      </c>
      <c r="C48" s="314">
        <v>0</v>
      </c>
      <c r="D48" s="314">
        <v>0</v>
      </c>
      <c r="E48" s="314">
        <v>0</v>
      </c>
      <c r="F48" s="314">
        <v>0</v>
      </c>
      <c r="G48" s="314">
        <v>0</v>
      </c>
      <c r="H48" s="314">
        <v>0</v>
      </c>
      <c r="I48" s="314">
        <v>0</v>
      </c>
      <c r="J48" s="314">
        <v>0</v>
      </c>
    </row>
    <row r="49" spans="1:10">
      <c r="A49" s="314" t="s">
        <v>1233</v>
      </c>
      <c r="B49" s="314" t="s">
        <v>1708</v>
      </c>
      <c r="C49" s="314">
        <v>0</v>
      </c>
      <c r="D49" s="314">
        <v>0</v>
      </c>
      <c r="E49" s="314">
        <v>0</v>
      </c>
      <c r="F49" s="314">
        <v>0</v>
      </c>
      <c r="G49" s="314">
        <v>0</v>
      </c>
      <c r="H49" s="314">
        <v>0</v>
      </c>
      <c r="I49" s="314">
        <v>0</v>
      </c>
      <c r="J49" s="314">
        <v>0</v>
      </c>
    </row>
    <row r="50" spans="1:10">
      <c r="A50" s="314" t="s">
        <v>1234</v>
      </c>
      <c r="B50" s="314" t="s">
        <v>1235</v>
      </c>
      <c r="C50" s="314">
        <v>2903</v>
      </c>
      <c r="D50" s="314">
        <v>0</v>
      </c>
      <c r="E50" s="314">
        <v>0</v>
      </c>
      <c r="F50" s="314">
        <v>0</v>
      </c>
      <c r="G50" s="314">
        <v>0</v>
      </c>
      <c r="H50" s="314">
        <v>0</v>
      </c>
      <c r="I50" s="314">
        <v>2903</v>
      </c>
      <c r="J50" s="314">
        <v>0</v>
      </c>
    </row>
    <row r="51" spans="1:10">
      <c r="A51" s="314" t="s">
        <v>1236</v>
      </c>
      <c r="B51" s="314" t="s">
        <v>1709</v>
      </c>
      <c r="C51" s="314">
        <v>0</v>
      </c>
      <c r="D51" s="314">
        <v>0</v>
      </c>
      <c r="E51" s="314">
        <v>0</v>
      </c>
      <c r="F51" s="314">
        <v>0</v>
      </c>
      <c r="G51" s="314">
        <v>0</v>
      </c>
      <c r="H51" s="314">
        <v>0</v>
      </c>
      <c r="I51" s="314">
        <v>0</v>
      </c>
      <c r="J51" s="314">
        <v>0</v>
      </c>
    </row>
    <row r="52" spans="1:10">
      <c r="A52" s="314" t="s">
        <v>1237</v>
      </c>
      <c r="B52" s="314" t="s">
        <v>1710</v>
      </c>
      <c r="C52" s="314">
        <v>0</v>
      </c>
      <c r="D52" s="314">
        <v>0</v>
      </c>
      <c r="E52" s="314">
        <v>0</v>
      </c>
      <c r="F52" s="314">
        <v>0</v>
      </c>
      <c r="G52" s="314">
        <v>0</v>
      </c>
      <c r="H52" s="314">
        <v>0</v>
      </c>
      <c r="I52" s="314">
        <v>0</v>
      </c>
      <c r="J52" s="314">
        <v>0</v>
      </c>
    </row>
    <row r="53" spans="1:10">
      <c r="A53" s="314" t="s">
        <v>1238</v>
      </c>
      <c r="B53" s="314" t="s">
        <v>1708</v>
      </c>
      <c r="C53" s="314">
        <v>0</v>
      </c>
      <c r="D53" s="314">
        <v>0</v>
      </c>
      <c r="E53" s="314">
        <v>0</v>
      </c>
      <c r="F53" s="314">
        <v>0</v>
      </c>
      <c r="G53" s="314">
        <v>0</v>
      </c>
      <c r="H53" s="314">
        <v>0</v>
      </c>
      <c r="I53" s="314">
        <v>0</v>
      </c>
      <c r="J53" s="314">
        <v>0</v>
      </c>
    </row>
    <row r="54" spans="1:10">
      <c r="A54" s="314" t="s">
        <v>1239</v>
      </c>
      <c r="B54" s="314" t="s">
        <v>1711</v>
      </c>
      <c r="C54" s="314">
        <v>0</v>
      </c>
      <c r="D54" s="314">
        <v>0</v>
      </c>
      <c r="E54" s="314">
        <v>0</v>
      </c>
      <c r="F54" s="314">
        <v>0</v>
      </c>
      <c r="G54" s="314">
        <v>0</v>
      </c>
      <c r="H54" s="314">
        <v>0</v>
      </c>
      <c r="I54" s="314">
        <v>0</v>
      </c>
      <c r="J54" s="314">
        <v>0</v>
      </c>
    </row>
    <row r="55" spans="1:10">
      <c r="A55" s="314" t="s">
        <v>1240</v>
      </c>
      <c r="B55" s="314" t="s">
        <v>172</v>
      </c>
      <c r="C55" s="314">
        <v>0</v>
      </c>
      <c r="D55" s="314">
        <v>0</v>
      </c>
      <c r="E55" s="314">
        <v>0</v>
      </c>
      <c r="F55" s="314">
        <v>0</v>
      </c>
      <c r="G55" s="314">
        <v>0</v>
      </c>
      <c r="H55" s="314">
        <v>0</v>
      </c>
      <c r="I55" s="314">
        <v>0</v>
      </c>
      <c r="J55" s="314">
        <v>0</v>
      </c>
    </row>
    <row r="56" spans="1:10">
      <c r="A56" s="314" t="s">
        <v>1241</v>
      </c>
      <c r="B56" s="314" t="s">
        <v>1712</v>
      </c>
      <c r="C56" s="314">
        <v>0</v>
      </c>
      <c r="D56" s="314">
        <v>0</v>
      </c>
      <c r="E56" s="314">
        <v>0</v>
      </c>
      <c r="F56" s="314">
        <v>0</v>
      </c>
      <c r="G56" s="314">
        <v>0</v>
      </c>
      <c r="H56" s="314">
        <v>0</v>
      </c>
      <c r="I56" s="314">
        <v>0</v>
      </c>
      <c r="J56" s="314">
        <v>0</v>
      </c>
    </row>
    <row r="57" spans="1:10">
      <c r="A57" s="314" t="s">
        <v>1242</v>
      </c>
      <c r="B57" s="314" t="s">
        <v>1713</v>
      </c>
      <c r="C57" s="314">
        <v>0</v>
      </c>
      <c r="D57" s="314">
        <v>0</v>
      </c>
      <c r="E57" s="314">
        <v>0</v>
      </c>
      <c r="F57" s="314">
        <v>0</v>
      </c>
      <c r="G57" s="314">
        <v>0</v>
      </c>
      <c r="H57" s="314">
        <v>0</v>
      </c>
      <c r="I57" s="314">
        <v>0</v>
      </c>
      <c r="J57" s="314">
        <v>0</v>
      </c>
    </row>
    <row r="58" spans="1:10">
      <c r="A58" s="314" t="s">
        <v>1243</v>
      </c>
      <c r="B58" s="314" t="s">
        <v>1244</v>
      </c>
      <c r="C58" s="314">
        <v>0</v>
      </c>
      <c r="D58" s="314">
        <v>0</v>
      </c>
      <c r="E58" s="314">
        <v>0</v>
      </c>
      <c r="F58" s="314">
        <v>0</v>
      </c>
      <c r="G58" s="314">
        <v>0</v>
      </c>
      <c r="H58" s="314">
        <v>0</v>
      </c>
      <c r="I58" s="314">
        <v>0</v>
      </c>
      <c r="J58" s="314">
        <v>0</v>
      </c>
    </row>
    <row r="59" spans="1:10">
      <c r="A59" s="314" t="s">
        <v>1245</v>
      </c>
      <c r="B59" s="314" t="s">
        <v>1714</v>
      </c>
      <c r="C59" s="314">
        <v>0</v>
      </c>
      <c r="D59" s="314">
        <v>0</v>
      </c>
      <c r="E59" s="314">
        <v>0</v>
      </c>
      <c r="F59" s="314">
        <v>0</v>
      </c>
      <c r="G59" s="314">
        <v>0</v>
      </c>
      <c r="H59" s="314">
        <v>0</v>
      </c>
      <c r="I59" s="314">
        <v>0</v>
      </c>
      <c r="J59" s="314">
        <v>0</v>
      </c>
    </row>
    <row r="60" spans="1:10">
      <c r="A60" s="314" t="s">
        <v>1246</v>
      </c>
      <c r="B60" s="314" t="s">
        <v>1715</v>
      </c>
      <c r="C60" s="314">
        <v>0</v>
      </c>
      <c r="D60" s="314">
        <v>0</v>
      </c>
      <c r="E60" s="314">
        <v>0</v>
      </c>
      <c r="F60" s="314">
        <v>0</v>
      </c>
      <c r="G60" s="314">
        <v>0</v>
      </c>
      <c r="H60" s="314">
        <v>0</v>
      </c>
      <c r="I60" s="314">
        <v>0</v>
      </c>
      <c r="J60" s="314">
        <v>0</v>
      </c>
    </row>
    <row r="61" spans="1:10">
      <c r="A61" s="314" t="s">
        <v>1247</v>
      </c>
      <c r="B61" s="314" t="s">
        <v>1716</v>
      </c>
      <c r="C61" s="314">
        <v>0</v>
      </c>
      <c r="D61" s="314">
        <v>0</v>
      </c>
      <c r="E61" s="314">
        <v>0</v>
      </c>
      <c r="F61" s="314">
        <v>0</v>
      </c>
      <c r="G61" s="314">
        <v>0</v>
      </c>
      <c r="H61" s="314">
        <v>0</v>
      </c>
      <c r="I61" s="314">
        <v>0</v>
      </c>
      <c r="J61" s="314">
        <v>0</v>
      </c>
    </row>
    <row r="62" spans="1:10">
      <c r="A62" s="314" t="s">
        <v>558</v>
      </c>
      <c r="B62" s="314" t="s">
        <v>1717</v>
      </c>
      <c r="C62" s="314">
        <v>0</v>
      </c>
      <c r="D62" s="314">
        <v>0</v>
      </c>
      <c r="E62" s="314">
        <v>0</v>
      </c>
      <c r="F62" s="314">
        <v>0</v>
      </c>
      <c r="G62" s="314">
        <v>0</v>
      </c>
      <c r="H62" s="314">
        <v>0</v>
      </c>
      <c r="I62" s="314">
        <v>0</v>
      </c>
      <c r="J62" s="314">
        <v>0</v>
      </c>
    </row>
    <row r="63" spans="1:10">
      <c r="A63" s="314" t="s">
        <v>1248</v>
      </c>
      <c r="B63" s="314" t="s">
        <v>1249</v>
      </c>
      <c r="C63" s="314">
        <v>18312614</v>
      </c>
      <c r="D63" s="314">
        <v>0</v>
      </c>
      <c r="E63" s="314">
        <v>0</v>
      </c>
      <c r="F63" s="314">
        <v>0</v>
      </c>
      <c r="G63" s="314">
        <v>0</v>
      </c>
      <c r="H63" s="314">
        <v>0</v>
      </c>
      <c r="I63" s="314">
        <v>18312614</v>
      </c>
      <c r="J63" s="314">
        <v>0</v>
      </c>
    </row>
    <row r="64" spans="1:10">
      <c r="A64" s="314" t="s">
        <v>564</v>
      </c>
      <c r="B64" s="314" t="s">
        <v>1250</v>
      </c>
      <c r="C64" s="314">
        <v>0</v>
      </c>
      <c r="D64" s="314">
        <v>2758513</v>
      </c>
      <c r="E64" s="314">
        <v>1211484</v>
      </c>
      <c r="F64" s="314">
        <v>2152380</v>
      </c>
      <c r="G64" s="314">
        <v>0</v>
      </c>
      <c r="H64" s="314">
        <v>940896</v>
      </c>
      <c r="I64" s="314">
        <v>0</v>
      </c>
      <c r="J64" s="314">
        <v>3699409</v>
      </c>
    </row>
    <row r="65" spans="1:10">
      <c r="A65" s="314" t="s">
        <v>566</v>
      </c>
      <c r="B65" s="314" t="s">
        <v>1718</v>
      </c>
      <c r="C65" s="314">
        <v>0</v>
      </c>
      <c r="D65" s="314">
        <v>0</v>
      </c>
      <c r="E65" s="314">
        <v>0</v>
      </c>
      <c r="F65" s="314">
        <v>0</v>
      </c>
      <c r="G65" s="314">
        <v>0</v>
      </c>
      <c r="H65" s="314">
        <v>0</v>
      </c>
      <c r="I65" s="314">
        <v>0</v>
      </c>
      <c r="J65" s="314">
        <v>0</v>
      </c>
    </row>
    <row r="66" spans="1:10">
      <c r="A66" s="314" t="s">
        <v>1251</v>
      </c>
      <c r="B66" s="314" t="s">
        <v>1252</v>
      </c>
      <c r="C66" s="314">
        <v>36174405</v>
      </c>
      <c r="D66" s="314">
        <v>0</v>
      </c>
      <c r="E66" s="314">
        <v>1170000</v>
      </c>
      <c r="F66" s="314">
        <v>0</v>
      </c>
      <c r="G66" s="314">
        <v>1170000</v>
      </c>
      <c r="H66" s="314">
        <v>0</v>
      </c>
      <c r="I66" s="314">
        <v>37344405</v>
      </c>
      <c r="J66" s="314">
        <v>0</v>
      </c>
    </row>
    <row r="67" spans="1:10">
      <c r="A67" s="314" t="s">
        <v>570</v>
      </c>
      <c r="B67" s="314" t="s">
        <v>1253</v>
      </c>
      <c r="C67" s="314">
        <v>0</v>
      </c>
      <c r="D67" s="314">
        <v>4942813</v>
      </c>
      <c r="E67" s="314">
        <v>2444553</v>
      </c>
      <c r="F67" s="314">
        <v>4360803</v>
      </c>
      <c r="G67" s="314">
        <v>0</v>
      </c>
      <c r="H67" s="314">
        <v>1916250</v>
      </c>
      <c r="I67" s="314">
        <v>0</v>
      </c>
      <c r="J67" s="314">
        <v>6859063</v>
      </c>
    </row>
    <row r="68" spans="1:10">
      <c r="A68" s="314" t="s">
        <v>572</v>
      </c>
      <c r="B68" s="314" t="s">
        <v>1719</v>
      </c>
      <c r="C68" s="314">
        <v>0</v>
      </c>
      <c r="D68" s="314">
        <v>0</v>
      </c>
      <c r="E68" s="314">
        <v>0</v>
      </c>
      <c r="F68" s="314">
        <v>0</v>
      </c>
      <c r="G68" s="314">
        <v>0</v>
      </c>
      <c r="H68" s="314">
        <v>0</v>
      </c>
      <c r="I68" s="314">
        <v>0</v>
      </c>
      <c r="J68" s="314">
        <v>0</v>
      </c>
    </row>
    <row r="69" spans="1:10">
      <c r="A69" s="314" t="s">
        <v>1254</v>
      </c>
      <c r="B69" s="314" t="s">
        <v>1113</v>
      </c>
      <c r="C69" s="314">
        <v>8354301</v>
      </c>
      <c r="D69" s="314">
        <v>0</v>
      </c>
      <c r="E69" s="314">
        <v>1044720</v>
      </c>
      <c r="F69" s="314">
        <v>0</v>
      </c>
      <c r="G69" s="314">
        <v>1044720</v>
      </c>
      <c r="H69" s="314">
        <v>0</v>
      </c>
      <c r="I69" s="314">
        <v>9399021</v>
      </c>
      <c r="J69" s="314">
        <v>0</v>
      </c>
    </row>
    <row r="70" spans="1:10">
      <c r="A70" s="314" t="s">
        <v>576</v>
      </c>
      <c r="B70" s="314" t="s">
        <v>1255</v>
      </c>
      <c r="C70" s="314">
        <v>0</v>
      </c>
      <c r="D70" s="314">
        <v>1384545</v>
      </c>
      <c r="E70" s="314">
        <v>804009</v>
      </c>
      <c r="F70" s="314">
        <v>1449954</v>
      </c>
      <c r="G70" s="314">
        <v>0</v>
      </c>
      <c r="H70" s="314">
        <v>645945</v>
      </c>
      <c r="I70" s="314">
        <v>0</v>
      </c>
      <c r="J70" s="314">
        <v>2030490</v>
      </c>
    </row>
    <row r="71" spans="1:10">
      <c r="A71" s="314" t="s">
        <v>578</v>
      </c>
      <c r="B71" s="314" t="s">
        <v>1720</v>
      </c>
      <c r="C71" s="314">
        <v>0</v>
      </c>
      <c r="D71" s="314">
        <v>0</v>
      </c>
      <c r="E71" s="314">
        <v>0</v>
      </c>
      <c r="F71" s="314">
        <v>0</v>
      </c>
      <c r="G71" s="314">
        <v>0</v>
      </c>
      <c r="H71" s="314">
        <v>0</v>
      </c>
      <c r="I71" s="314">
        <v>0</v>
      </c>
      <c r="J71" s="314">
        <v>0</v>
      </c>
    </row>
    <row r="72" spans="1:10">
      <c r="A72" s="314" t="s">
        <v>1256</v>
      </c>
      <c r="B72" s="314" t="s">
        <v>1257</v>
      </c>
      <c r="C72" s="314">
        <v>711326</v>
      </c>
      <c r="D72" s="314">
        <v>0</v>
      </c>
      <c r="E72" s="314">
        <v>103634</v>
      </c>
      <c r="F72" s="314">
        <v>0</v>
      </c>
      <c r="G72" s="314">
        <v>103634</v>
      </c>
      <c r="H72" s="314">
        <v>0</v>
      </c>
      <c r="I72" s="314">
        <v>814960</v>
      </c>
      <c r="J72" s="314">
        <v>0</v>
      </c>
    </row>
    <row r="73" spans="1:10">
      <c r="A73" s="314" t="s">
        <v>582</v>
      </c>
      <c r="B73" s="314" t="s">
        <v>1258</v>
      </c>
      <c r="C73" s="314">
        <v>0</v>
      </c>
      <c r="D73" s="314">
        <v>258530</v>
      </c>
      <c r="E73" s="314">
        <v>75132</v>
      </c>
      <c r="F73" s="314">
        <v>197530</v>
      </c>
      <c r="G73" s="314">
        <v>0</v>
      </c>
      <c r="H73" s="314">
        <v>122398</v>
      </c>
      <c r="I73" s="314">
        <v>0</v>
      </c>
      <c r="J73" s="314">
        <v>380928</v>
      </c>
    </row>
    <row r="74" spans="1:10">
      <c r="A74" s="314" t="s">
        <v>584</v>
      </c>
      <c r="B74" s="314" t="s">
        <v>1721</v>
      </c>
      <c r="C74" s="314">
        <v>0</v>
      </c>
      <c r="D74" s="314">
        <v>0</v>
      </c>
      <c r="E74" s="314">
        <v>0</v>
      </c>
      <c r="F74" s="314">
        <v>0</v>
      </c>
      <c r="G74" s="314">
        <v>0</v>
      </c>
      <c r="H74" s="314">
        <v>0</v>
      </c>
      <c r="I74" s="314">
        <v>0</v>
      </c>
      <c r="J74" s="314">
        <v>0</v>
      </c>
    </row>
    <row r="75" spans="1:10">
      <c r="A75" s="314" t="s">
        <v>1259</v>
      </c>
      <c r="B75" s="314" t="s">
        <v>1722</v>
      </c>
      <c r="C75" s="314">
        <v>0</v>
      </c>
      <c r="D75" s="314">
        <v>0</v>
      </c>
      <c r="E75" s="314">
        <v>0</v>
      </c>
      <c r="F75" s="314">
        <v>0</v>
      </c>
      <c r="G75" s="314">
        <v>0</v>
      </c>
      <c r="H75" s="314">
        <v>0</v>
      </c>
      <c r="I75" s="314">
        <v>0</v>
      </c>
      <c r="J75" s="314">
        <v>0</v>
      </c>
    </row>
    <row r="76" spans="1:10">
      <c r="A76" s="314" t="s">
        <v>1260</v>
      </c>
      <c r="B76" s="314" t="s">
        <v>1261</v>
      </c>
      <c r="C76" s="314">
        <v>2143071</v>
      </c>
      <c r="D76" s="314">
        <v>0</v>
      </c>
      <c r="E76" s="314">
        <v>69900</v>
      </c>
      <c r="F76" s="314">
        <v>0</v>
      </c>
      <c r="G76" s="314">
        <v>69900</v>
      </c>
      <c r="H76" s="314">
        <v>0</v>
      </c>
      <c r="I76" s="314">
        <v>2212971</v>
      </c>
      <c r="J76" s="314">
        <v>0</v>
      </c>
    </row>
    <row r="77" spans="1:10">
      <c r="A77" s="314" t="s">
        <v>594</v>
      </c>
      <c r="B77" s="314" t="s">
        <v>1262</v>
      </c>
      <c r="C77" s="314">
        <v>0</v>
      </c>
      <c r="D77" s="314">
        <v>450259</v>
      </c>
      <c r="E77" s="314">
        <v>290029</v>
      </c>
      <c r="F77" s="314">
        <v>513134</v>
      </c>
      <c r="G77" s="314">
        <v>0</v>
      </c>
      <c r="H77" s="314">
        <v>223105</v>
      </c>
      <c r="I77" s="314">
        <v>0</v>
      </c>
      <c r="J77" s="314">
        <v>673364</v>
      </c>
    </row>
    <row r="78" spans="1:10">
      <c r="A78" s="314" t="s">
        <v>596</v>
      </c>
      <c r="B78" s="314" t="s">
        <v>1723</v>
      </c>
      <c r="C78" s="314">
        <v>0</v>
      </c>
      <c r="D78" s="314">
        <v>0</v>
      </c>
      <c r="E78" s="314">
        <v>0</v>
      </c>
      <c r="F78" s="314">
        <v>0</v>
      </c>
      <c r="G78" s="314">
        <v>0</v>
      </c>
      <c r="H78" s="314">
        <v>0</v>
      </c>
      <c r="I78" s="314">
        <v>0</v>
      </c>
      <c r="J78" s="314">
        <v>0</v>
      </c>
    </row>
    <row r="79" spans="1:10">
      <c r="A79" s="314" t="s">
        <v>1263</v>
      </c>
      <c r="B79" s="314" t="s">
        <v>178</v>
      </c>
      <c r="C79" s="314">
        <v>303810</v>
      </c>
      <c r="D79" s="314">
        <v>0</v>
      </c>
      <c r="E79" s="314">
        <v>175478</v>
      </c>
      <c r="F79" s="314">
        <v>0</v>
      </c>
      <c r="G79" s="314">
        <v>175478</v>
      </c>
      <c r="H79" s="314">
        <v>0</v>
      </c>
      <c r="I79" s="314">
        <v>479288</v>
      </c>
      <c r="J79" s="314">
        <v>0</v>
      </c>
    </row>
    <row r="80" spans="1:10">
      <c r="A80" s="314" t="s">
        <v>1264</v>
      </c>
      <c r="B80" s="314" t="s">
        <v>1265</v>
      </c>
      <c r="C80" s="314">
        <v>0</v>
      </c>
      <c r="D80" s="314">
        <v>183463</v>
      </c>
      <c r="E80" s="314">
        <v>81592</v>
      </c>
      <c r="F80" s="314">
        <v>132699</v>
      </c>
      <c r="G80" s="314">
        <v>0</v>
      </c>
      <c r="H80" s="314">
        <v>51107</v>
      </c>
      <c r="I80" s="314">
        <v>0</v>
      </c>
      <c r="J80" s="314">
        <v>234570</v>
      </c>
    </row>
    <row r="81" spans="1:10">
      <c r="A81" s="314" t="s">
        <v>610</v>
      </c>
      <c r="B81" s="314" t="s">
        <v>1724</v>
      </c>
      <c r="C81" s="314">
        <v>0</v>
      </c>
      <c r="D81" s="314">
        <v>0</v>
      </c>
      <c r="E81" s="314">
        <v>0</v>
      </c>
      <c r="F81" s="314">
        <v>0</v>
      </c>
      <c r="G81" s="314">
        <v>0</v>
      </c>
      <c r="H81" s="314">
        <v>0</v>
      </c>
      <c r="I81" s="314">
        <v>0</v>
      </c>
      <c r="J81" s="314">
        <v>0</v>
      </c>
    </row>
    <row r="82" spans="1:10">
      <c r="A82" s="314" t="s">
        <v>1266</v>
      </c>
      <c r="B82" s="314" t="s">
        <v>177</v>
      </c>
      <c r="C82" s="314">
        <v>0</v>
      </c>
      <c r="D82" s="314">
        <v>0</v>
      </c>
      <c r="E82" s="314">
        <v>0</v>
      </c>
      <c r="F82" s="314">
        <v>0</v>
      </c>
      <c r="G82" s="314">
        <v>0</v>
      </c>
      <c r="H82" s="314">
        <v>0</v>
      </c>
      <c r="I82" s="314">
        <v>0</v>
      </c>
      <c r="J82" s="314">
        <v>0</v>
      </c>
    </row>
    <row r="83" spans="1:10">
      <c r="A83" s="314" t="s">
        <v>634</v>
      </c>
      <c r="B83" s="314" t="s">
        <v>1725</v>
      </c>
      <c r="C83" s="314">
        <v>0</v>
      </c>
      <c r="D83" s="314">
        <v>0</v>
      </c>
      <c r="E83" s="314">
        <v>0</v>
      </c>
      <c r="F83" s="314">
        <v>0</v>
      </c>
      <c r="G83" s="314">
        <v>0</v>
      </c>
      <c r="H83" s="314">
        <v>0</v>
      </c>
      <c r="I83" s="314">
        <v>0</v>
      </c>
      <c r="J83" s="314">
        <v>0</v>
      </c>
    </row>
    <row r="84" spans="1:10">
      <c r="A84" s="314" t="s">
        <v>1267</v>
      </c>
      <c r="B84" s="314" t="s">
        <v>1726</v>
      </c>
      <c r="C84" s="314">
        <v>0</v>
      </c>
      <c r="D84" s="314">
        <v>0</v>
      </c>
      <c r="E84" s="314">
        <v>0</v>
      </c>
      <c r="F84" s="314">
        <v>0</v>
      </c>
      <c r="G84" s="314">
        <v>0</v>
      </c>
      <c r="H84" s="314">
        <v>0</v>
      </c>
      <c r="I84" s="314">
        <v>0</v>
      </c>
      <c r="J84" s="314">
        <v>0</v>
      </c>
    </row>
    <row r="85" spans="1:10">
      <c r="A85" s="314" t="s">
        <v>640</v>
      </c>
      <c r="B85" s="314" t="s">
        <v>1727</v>
      </c>
      <c r="C85" s="314">
        <v>0</v>
      </c>
      <c r="D85" s="314">
        <v>0</v>
      </c>
      <c r="E85" s="314">
        <v>0</v>
      </c>
      <c r="F85" s="314">
        <v>0</v>
      </c>
      <c r="G85" s="314">
        <v>0</v>
      </c>
      <c r="H85" s="314">
        <v>0</v>
      </c>
      <c r="I85" s="314">
        <v>0</v>
      </c>
      <c r="J85" s="314">
        <v>0</v>
      </c>
    </row>
    <row r="86" spans="1:10">
      <c r="A86" s="314" t="s">
        <v>642</v>
      </c>
      <c r="B86" s="314" t="s">
        <v>1728</v>
      </c>
      <c r="C86" s="314">
        <v>0</v>
      </c>
      <c r="D86" s="314">
        <v>0</v>
      </c>
      <c r="E86" s="314">
        <v>0</v>
      </c>
      <c r="F86" s="314">
        <v>0</v>
      </c>
      <c r="G86" s="314">
        <v>0</v>
      </c>
      <c r="H86" s="314">
        <v>0</v>
      </c>
      <c r="I86" s="314">
        <v>0</v>
      </c>
      <c r="J86" s="314">
        <v>0</v>
      </c>
    </row>
    <row r="87" spans="1:10">
      <c r="A87" s="314" t="s">
        <v>1268</v>
      </c>
      <c r="B87" s="314" t="s">
        <v>173</v>
      </c>
      <c r="C87" s="314">
        <v>0</v>
      </c>
      <c r="D87" s="314">
        <v>0</v>
      </c>
      <c r="E87" s="314">
        <v>0</v>
      </c>
      <c r="F87" s="314">
        <v>0</v>
      </c>
      <c r="G87" s="314">
        <v>0</v>
      </c>
      <c r="H87" s="314">
        <v>0</v>
      </c>
      <c r="I87" s="314">
        <v>0</v>
      </c>
      <c r="J87" s="314">
        <v>0</v>
      </c>
    </row>
    <row r="88" spans="1:10">
      <c r="A88" s="314" t="s">
        <v>1269</v>
      </c>
      <c r="B88" s="314" t="s">
        <v>174</v>
      </c>
      <c r="C88" s="314">
        <v>0</v>
      </c>
      <c r="D88" s="314">
        <v>0</v>
      </c>
      <c r="E88" s="314">
        <v>0</v>
      </c>
      <c r="F88" s="314">
        <v>0</v>
      </c>
      <c r="G88" s="314">
        <v>0</v>
      </c>
      <c r="H88" s="314">
        <v>0</v>
      </c>
      <c r="I88" s="314">
        <v>0</v>
      </c>
      <c r="J88" s="314">
        <v>0</v>
      </c>
    </row>
    <row r="89" spans="1:10">
      <c r="A89" s="314" t="s">
        <v>1270</v>
      </c>
      <c r="B89" s="314" t="s">
        <v>1729</v>
      </c>
      <c r="C89" s="314">
        <v>0</v>
      </c>
      <c r="D89" s="314">
        <v>0</v>
      </c>
      <c r="E89" s="314">
        <v>0</v>
      </c>
      <c r="F89" s="314">
        <v>0</v>
      </c>
      <c r="G89" s="314">
        <v>0</v>
      </c>
      <c r="H89" s="314">
        <v>0</v>
      </c>
      <c r="I89" s="314">
        <v>0</v>
      </c>
      <c r="J89" s="314">
        <v>0</v>
      </c>
    </row>
    <row r="90" spans="1:10">
      <c r="A90" s="314" t="s">
        <v>1271</v>
      </c>
      <c r="B90" s="314" t="s">
        <v>1730</v>
      </c>
      <c r="C90" s="314">
        <v>0</v>
      </c>
      <c r="D90" s="314">
        <v>0</v>
      </c>
      <c r="E90" s="314">
        <v>0</v>
      </c>
      <c r="F90" s="314">
        <v>0</v>
      </c>
      <c r="G90" s="314">
        <v>0</v>
      </c>
      <c r="H90" s="314">
        <v>0</v>
      </c>
      <c r="I90" s="314">
        <v>0</v>
      </c>
      <c r="J90" s="314">
        <v>0</v>
      </c>
    </row>
    <row r="91" spans="1:10">
      <c r="A91" s="314" t="s">
        <v>1272</v>
      </c>
      <c r="B91" s="314" t="s">
        <v>1731</v>
      </c>
      <c r="C91" s="314">
        <v>0</v>
      </c>
      <c r="D91" s="314">
        <v>0</v>
      </c>
      <c r="E91" s="314">
        <v>0</v>
      </c>
      <c r="F91" s="314">
        <v>0</v>
      </c>
      <c r="G91" s="314">
        <v>0</v>
      </c>
      <c r="H91" s="314">
        <v>0</v>
      </c>
      <c r="I91" s="314">
        <v>0</v>
      </c>
      <c r="J91" s="314">
        <v>0</v>
      </c>
    </row>
    <row r="92" spans="1:10">
      <c r="A92" s="314" t="s">
        <v>1273</v>
      </c>
      <c r="B92" s="314" t="s">
        <v>1732</v>
      </c>
      <c r="C92" s="314">
        <v>0</v>
      </c>
      <c r="D92" s="314">
        <v>0</v>
      </c>
      <c r="E92" s="314">
        <v>0</v>
      </c>
      <c r="F92" s="314">
        <v>0</v>
      </c>
      <c r="G92" s="314">
        <v>0</v>
      </c>
      <c r="H92" s="314">
        <v>0</v>
      </c>
      <c r="I92" s="314">
        <v>0</v>
      </c>
      <c r="J92" s="314">
        <v>0</v>
      </c>
    </row>
    <row r="93" spans="1:10">
      <c r="A93" s="314" t="s">
        <v>1274</v>
      </c>
      <c r="B93" s="314" t="s">
        <v>1733</v>
      </c>
      <c r="C93" s="314">
        <v>0</v>
      </c>
      <c r="D93" s="314">
        <v>0</v>
      </c>
      <c r="E93" s="314">
        <v>0</v>
      </c>
      <c r="F93" s="314">
        <v>0</v>
      </c>
      <c r="G93" s="314">
        <v>0</v>
      </c>
      <c r="H93" s="314">
        <v>0</v>
      </c>
      <c r="I93" s="314">
        <v>0</v>
      </c>
      <c r="J93" s="314">
        <v>0</v>
      </c>
    </row>
    <row r="94" spans="1:10">
      <c r="A94" s="314" t="s">
        <v>1275</v>
      </c>
      <c r="B94" s="314" t="s">
        <v>1734</v>
      </c>
      <c r="C94" s="314">
        <v>0</v>
      </c>
      <c r="D94" s="314">
        <v>0</v>
      </c>
      <c r="E94" s="314">
        <v>0</v>
      </c>
      <c r="F94" s="314">
        <v>0</v>
      </c>
      <c r="G94" s="314">
        <v>0</v>
      </c>
      <c r="H94" s="314">
        <v>0</v>
      </c>
      <c r="I94" s="314">
        <v>0</v>
      </c>
      <c r="J94" s="314">
        <v>0</v>
      </c>
    </row>
    <row r="95" spans="1:10">
      <c r="A95" s="314" t="s">
        <v>1276</v>
      </c>
      <c r="B95" s="314" t="s">
        <v>1735</v>
      </c>
      <c r="C95" s="314">
        <v>0</v>
      </c>
      <c r="D95" s="314">
        <v>0</v>
      </c>
      <c r="E95" s="314">
        <v>0</v>
      </c>
      <c r="F95" s="314">
        <v>0</v>
      </c>
      <c r="G95" s="314">
        <v>0</v>
      </c>
      <c r="H95" s="314">
        <v>0</v>
      </c>
      <c r="I95" s="314">
        <v>0</v>
      </c>
      <c r="J95" s="314">
        <v>0</v>
      </c>
    </row>
    <row r="96" spans="1:10">
      <c r="A96" s="314" t="s">
        <v>1277</v>
      </c>
      <c r="B96" s="314" t="s">
        <v>1736</v>
      </c>
      <c r="C96" s="314">
        <v>0</v>
      </c>
      <c r="D96" s="314">
        <v>0</v>
      </c>
      <c r="E96" s="314">
        <v>0</v>
      </c>
      <c r="F96" s="314">
        <v>0</v>
      </c>
      <c r="G96" s="314">
        <v>0</v>
      </c>
      <c r="H96" s="314">
        <v>0</v>
      </c>
      <c r="I96" s="314">
        <v>0</v>
      </c>
      <c r="J96" s="314">
        <v>0</v>
      </c>
    </row>
    <row r="97" spans="1:10">
      <c r="A97" s="314" t="s">
        <v>1278</v>
      </c>
      <c r="B97" s="314" t="s">
        <v>1737</v>
      </c>
      <c r="C97" s="314">
        <v>0</v>
      </c>
      <c r="D97" s="314">
        <v>0</v>
      </c>
      <c r="E97" s="314">
        <v>0</v>
      </c>
      <c r="F97" s="314">
        <v>0</v>
      </c>
      <c r="G97" s="314">
        <v>0</v>
      </c>
      <c r="H97" s="314">
        <v>0</v>
      </c>
      <c r="I97" s="314">
        <v>0</v>
      </c>
      <c r="J97" s="314">
        <v>0</v>
      </c>
    </row>
    <row r="98" spans="1:10">
      <c r="A98" s="314" t="s">
        <v>1279</v>
      </c>
      <c r="B98" s="314" t="s">
        <v>1738</v>
      </c>
      <c r="C98" s="314">
        <v>0</v>
      </c>
      <c r="D98" s="314">
        <v>0</v>
      </c>
      <c r="E98" s="314">
        <v>0</v>
      </c>
      <c r="F98" s="314">
        <v>0</v>
      </c>
      <c r="G98" s="314">
        <v>0</v>
      </c>
      <c r="H98" s="314">
        <v>0</v>
      </c>
      <c r="I98" s="314">
        <v>0</v>
      </c>
      <c r="J98" s="314">
        <v>0</v>
      </c>
    </row>
    <row r="99" spans="1:10">
      <c r="A99" s="314" t="s">
        <v>1280</v>
      </c>
      <c r="B99" s="314" t="s">
        <v>1281</v>
      </c>
      <c r="C99" s="314">
        <v>0</v>
      </c>
      <c r="D99" s="314">
        <v>0</v>
      </c>
      <c r="E99" s="314">
        <v>0</v>
      </c>
      <c r="F99" s="314">
        <v>0</v>
      </c>
      <c r="G99" s="314">
        <v>0</v>
      </c>
      <c r="H99" s="314">
        <v>0</v>
      </c>
      <c r="I99" s="314">
        <v>0</v>
      </c>
      <c r="J99" s="314">
        <v>0</v>
      </c>
    </row>
    <row r="100" spans="1:10">
      <c r="A100" s="314" t="s">
        <v>1282</v>
      </c>
      <c r="B100" s="314" t="s">
        <v>121</v>
      </c>
      <c r="C100" s="314">
        <v>16825600</v>
      </c>
      <c r="D100" s="314">
        <v>0</v>
      </c>
      <c r="E100" s="314">
        <v>0</v>
      </c>
      <c r="F100" s="314">
        <v>0</v>
      </c>
      <c r="G100" s="314">
        <v>0</v>
      </c>
      <c r="H100" s="314">
        <v>0</v>
      </c>
      <c r="I100" s="314">
        <v>16825600</v>
      </c>
      <c r="J100" s="314">
        <v>0</v>
      </c>
    </row>
    <row r="101" spans="1:10">
      <c r="A101" s="314" t="s">
        <v>1283</v>
      </c>
      <c r="B101" s="314" t="s">
        <v>1739</v>
      </c>
      <c r="C101" s="314">
        <v>0</v>
      </c>
      <c r="D101" s="314">
        <v>0</v>
      </c>
      <c r="E101" s="314">
        <v>0</v>
      </c>
      <c r="F101" s="314">
        <v>0</v>
      </c>
      <c r="G101" s="314">
        <v>0</v>
      </c>
      <c r="H101" s="314">
        <v>0</v>
      </c>
      <c r="I101" s="314">
        <v>0</v>
      </c>
      <c r="J101" s="314">
        <v>0</v>
      </c>
    </row>
    <row r="102" spans="1:10">
      <c r="A102" s="314" t="s">
        <v>1284</v>
      </c>
      <c r="B102" s="314" t="s">
        <v>180</v>
      </c>
      <c r="C102" s="314">
        <v>0</v>
      </c>
      <c r="D102" s="314">
        <v>0</v>
      </c>
      <c r="E102" s="314">
        <v>1596848</v>
      </c>
      <c r="F102" s="314">
        <v>0</v>
      </c>
      <c r="G102" s="314">
        <v>1596848</v>
      </c>
      <c r="H102" s="314">
        <v>0</v>
      </c>
      <c r="I102" s="314">
        <v>1596848</v>
      </c>
      <c r="J102" s="314">
        <v>0</v>
      </c>
    </row>
    <row r="103" spans="1:10">
      <c r="A103" s="314" t="s">
        <v>1285</v>
      </c>
      <c r="B103" s="314" t="s">
        <v>92</v>
      </c>
      <c r="C103" s="314">
        <v>4361682</v>
      </c>
      <c r="D103" s="314">
        <v>0</v>
      </c>
      <c r="E103" s="314">
        <v>0</v>
      </c>
      <c r="F103" s="314">
        <v>46762</v>
      </c>
      <c r="G103" s="314">
        <v>0</v>
      </c>
      <c r="H103" s="314">
        <v>46762</v>
      </c>
      <c r="I103" s="314">
        <v>4314920</v>
      </c>
      <c r="J103" s="314">
        <v>0</v>
      </c>
    </row>
    <row r="104" spans="1:10">
      <c r="A104" s="314" t="s">
        <v>1286</v>
      </c>
      <c r="B104" s="314" t="s">
        <v>1740</v>
      </c>
      <c r="C104" s="314">
        <v>0</v>
      </c>
      <c r="D104" s="314">
        <v>0</v>
      </c>
      <c r="E104" s="314">
        <v>0</v>
      </c>
      <c r="F104" s="314">
        <v>0</v>
      </c>
      <c r="G104" s="314">
        <v>0</v>
      </c>
      <c r="H104" s="314">
        <v>0</v>
      </c>
      <c r="I104" s="314">
        <v>0</v>
      </c>
      <c r="J104" s="314">
        <v>0</v>
      </c>
    </row>
    <row r="105" spans="1:10">
      <c r="A105" s="314" t="s">
        <v>1287</v>
      </c>
      <c r="B105" s="314" t="s">
        <v>1741</v>
      </c>
      <c r="C105" s="314">
        <v>0</v>
      </c>
      <c r="D105" s="314">
        <v>0</v>
      </c>
      <c r="E105" s="314">
        <v>0</v>
      </c>
      <c r="F105" s="314">
        <v>0</v>
      </c>
      <c r="G105" s="314">
        <v>0</v>
      </c>
      <c r="H105" s="314">
        <v>0</v>
      </c>
      <c r="I105" s="314">
        <v>0</v>
      </c>
      <c r="J105" s="314">
        <v>0</v>
      </c>
    </row>
    <row r="106" spans="1:10">
      <c r="A106" s="314" t="s">
        <v>1288</v>
      </c>
      <c r="B106" s="314" t="s">
        <v>1742</v>
      </c>
      <c r="C106" s="314">
        <v>0</v>
      </c>
      <c r="D106" s="314">
        <v>0</v>
      </c>
      <c r="E106" s="314">
        <v>0</v>
      </c>
      <c r="F106" s="314">
        <v>0</v>
      </c>
      <c r="G106" s="314">
        <v>0</v>
      </c>
      <c r="H106" s="314">
        <v>0</v>
      </c>
      <c r="I106" s="314">
        <v>0</v>
      </c>
      <c r="J106" s="314">
        <v>0</v>
      </c>
    </row>
    <row r="107" spans="1:10">
      <c r="A107" s="314" t="s">
        <v>1289</v>
      </c>
      <c r="B107" s="314" t="s">
        <v>1290</v>
      </c>
      <c r="C107" s="314">
        <v>0</v>
      </c>
      <c r="D107" s="314">
        <v>0</v>
      </c>
      <c r="E107" s="314">
        <v>0</v>
      </c>
      <c r="F107" s="314">
        <v>0</v>
      </c>
      <c r="G107" s="314">
        <v>0</v>
      </c>
      <c r="H107" s="314">
        <v>0</v>
      </c>
      <c r="I107" s="314">
        <v>0</v>
      </c>
      <c r="J107" s="314">
        <v>0</v>
      </c>
    </row>
    <row r="108" spans="1:10">
      <c r="A108" s="314" t="s">
        <v>1291</v>
      </c>
      <c r="B108" s="314" t="s">
        <v>6</v>
      </c>
      <c r="C108" s="314">
        <v>0</v>
      </c>
      <c r="D108" s="314">
        <v>0</v>
      </c>
      <c r="E108" s="314">
        <v>0</v>
      </c>
      <c r="F108" s="314">
        <v>0</v>
      </c>
      <c r="G108" s="314">
        <v>0</v>
      </c>
      <c r="H108" s="314">
        <v>0</v>
      </c>
      <c r="I108" s="314">
        <v>0</v>
      </c>
      <c r="J108" s="314">
        <v>0</v>
      </c>
    </row>
    <row r="109" spans="1:10">
      <c r="A109" s="314" t="s">
        <v>1292</v>
      </c>
      <c r="B109" s="314" t="s">
        <v>123</v>
      </c>
      <c r="C109" s="314">
        <v>0</v>
      </c>
      <c r="D109" s="314">
        <v>0</v>
      </c>
      <c r="E109" s="314">
        <v>0</v>
      </c>
      <c r="F109" s="314">
        <v>0</v>
      </c>
      <c r="G109" s="314">
        <v>0</v>
      </c>
      <c r="H109" s="314">
        <v>0</v>
      </c>
      <c r="I109" s="314">
        <v>0</v>
      </c>
      <c r="J109" s="314">
        <v>0</v>
      </c>
    </row>
    <row r="110" spans="1:10">
      <c r="A110" s="314" t="s">
        <v>1293</v>
      </c>
      <c r="B110" s="314" t="s">
        <v>1743</v>
      </c>
      <c r="C110" s="314">
        <v>0</v>
      </c>
      <c r="D110" s="314">
        <v>0</v>
      </c>
      <c r="E110" s="314">
        <v>0</v>
      </c>
      <c r="F110" s="314">
        <v>0</v>
      </c>
      <c r="G110" s="314">
        <v>0</v>
      </c>
      <c r="H110" s="314">
        <v>0</v>
      </c>
      <c r="I110" s="314">
        <v>0</v>
      </c>
      <c r="J110" s="314">
        <v>0</v>
      </c>
    </row>
    <row r="111" spans="1:10">
      <c r="A111" s="314" t="s">
        <v>711</v>
      </c>
      <c r="B111" s="314" t="s">
        <v>1744</v>
      </c>
      <c r="C111" s="314">
        <v>0</v>
      </c>
      <c r="D111" s="314">
        <v>0</v>
      </c>
      <c r="E111" s="314">
        <v>0</v>
      </c>
      <c r="F111" s="314">
        <v>0</v>
      </c>
      <c r="G111" s="314">
        <v>0</v>
      </c>
      <c r="H111" s="314">
        <v>0</v>
      </c>
      <c r="I111" s="314">
        <v>0</v>
      </c>
      <c r="J111" s="314">
        <v>0</v>
      </c>
    </row>
    <row r="112" spans="1:10">
      <c r="A112" s="314" t="s">
        <v>1294</v>
      </c>
      <c r="B112" s="314" t="s">
        <v>1295</v>
      </c>
      <c r="C112" s="314">
        <v>0</v>
      </c>
      <c r="D112" s="314">
        <v>2594200</v>
      </c>
      <c r="E112" s="314">
        <v>2593718</v>
      </c>
      <c r="F112" s="314">
        <v>6700966</v>
      </c>
      <c r="G112" s="314">
        <v>0</v>
      </c>
      <c r="H112" s="314">
        <v>4107248</v>
      </c>
      <c r="I112" s="314">
        <v>0</v>
      </c>
      <c r="J112" s="314">
        <v>6701448</v>
      </c>
    </row>
    <row r="113" spans="1:10">
      <c r="A113" s="314" t="s">
        <v>713</v>
      </c>
      <c r="B113" s="314" t="s">
        <v>124</v>
      </c>
      <c r="C113" s="314">
        <v>0</v>
      </c>
      <c r="D113" s="314">
        <v>0</v>
      </c>
      <c r="E113" s="314">
        <v>0</v>
      </c>
      <c r="F113" s="314">
        <v>0</v>
      </c>
      <c r="G113" s="314">
        <v>0</v>
      </c>
      <c r="H113" s="314">
        <v>0</v>
      </c>
      <c r="I113" s="314">
        <v>0</v>
      </c>
      <c r="J113" s="314">
        <v>0</v>
      </c>
    </row>
    <row r="114" spans="1:10">
      <c r="A114" s="314" t="s">
        <v>1296</v>
      </c>
      <c r="B114" s="314" t="s">
        <v>1745</v>
      </c>
      <c r="C114" s="314">
        <v>0</v>
      </c>
      <c r="D114" s="314">
        <v>0</v>
      </c>
      <c r="E114" s="314">
        <v>0</v>
      </c>
      <c r="F114" s="314">
        <v>0</v>
      </c>
      <c r="G114" s="314">
        <v>0</v>
      </c>
      <c r="H114" s="314">
        <v>0</v>
      </c>
      <c r="I114" s="314">
        <v>0</v>
      </c>
      <c r="J114" s="314">
        <v>0</v>
      </c>
    </row>
    <row r="115" spans="1:10">
      <c r="A115" s="314" t="s">
        <v>1297</v>
      </c>
      <c r="B115" s="314" t="s">
        <v>129</v>
      </c>
      <c r="C115" s="314">
        <v>0</v>
      </c>
      <c r="D115" s="314">
        <v>2455819</v>
      </c>
      <c r="E115" s="314">
        <v>4640236</v>
      </c>
      <c r="F115" s="314">
        <v>2496071</v>
      </c>
      <c r="G115" s="314">
        <v>2144165</v>
      </c>
      <c r="H115" s="314">
        <v>0</v>
      </c>
      <c r="I115" s="314">
        <v>0</v>
      </c>
      <c r="J115" s="314">
        <v>311654</v>
      </c>
    </row>
    <row r="116" spans="1:10">
      <c r="A116" s="314" t="s">
        <v>1298</v>
      </c>
      <c r="B116" s="314" t="s">
        <v>1746</v>
      </c>
      <c r="C116" s="314">
        <v>0</v>
      </c>
      <c r="D116" s="314">
        <v>0</v>
      </c>
      <c r="E116" s="314">
        <v>0</v>
      </c>
      <c r="F116" s="314">
        <v>0</v>
      </c>
      <c r="G116" s="314">
        <v>0</v>
      </c>
      <c r="H116" s="314">
        <v>0</v>
      </c>
      <c r="I116" s="314">
        <v>0</v>
      </c>
      <c r="J116" s="314">
        <v>0</v>
      </c>
    </row>
    <row r="117" spans="1:10">
      <c r="A117" s="314" t="s">
        <v>1299</v>
      </c>
      <c r="B117" s="314" t="s">
        <v>130</v>
      </c>
      <c r="C117" s="314">
        <v>0</v>
      </c>
      <c r="D117" s="314">
        <v>5966576</v>
      </c>
      <c r="E117" s="314">
        <v>27777335</v>
      </c>
      <c r="F117" s="314">
        <v>26150298</v>
      </c>
      <c r="G117" s="314">
        <v>1627037</v>
      </c>
      <c r="H117" s="314">
        <v>0</v>
      </c>
      <c r="I117" s="314">
        <v>0</v>
      </c>
      <c r="J117" s="314">
        <v>4339539</v>
      </c>
    </row>
    <row r="118" spans="1:10">
      <c r="A118" s="314" t="s">
        <v>1300</v>
      </c>
      <c r="B118" s="314" t="s">
        <v>1747</v>
      </c>
      <c r="C118" s="314">
        <v>0</v>
      </c>
      <c r="D118" s="314">
        <v>0</v>
      </c>
      <c r="E118" s="314">
        <v>0</v>
      </c>
      <c r="F118" s="314">
        <v>0</v>
      </c>
      <c r="G118" s="314">
        <v>0</v>
      </c>
      <c r="H118" s="314">
        <v>0</v>
      </c>
      <c r="I118" s="314">
        <v>0</v>
      </c>
      <c r="J118" s="314">
        <v>0</v>
      </c>
    </row>
    <row r="119" spans="1:10">
      <c r="A119" s="314" t="s">
        <v>1301</v>
      </c>
      <c r="B119" s="314" t="s">
        <v>132</v>
      </c>
      <c r="C119" s="314">
        <v>0</v>
      </c>
      <c r="D119" s="314">
        <v>0</v>
      </c>
      <c r="E119" s="314">
        <v>0</v>
      </c>
      <c r="F119" s="314">
        <v>0</v>
      </c>
      <c r="G119" s="314">
        <v>0</v>
      </c>
      <c r="H119" s="314">
        <v>0</v>
      </c>
      <c r="I119" s="314">
        <v>0</v>
      </c>
      <c r="J119" s="314">
        <v>0</v>
      </c>
    </row>
    <row r="120" spans="1:10">
      <c r="A120" s="314" t="s">
        <v>1302</v>
      </c>
      <c r="B120" s="314" t="s">
        <v>1303</v>
      </c>
      <c r="C120" s="314">
        <v>0</v>
      </c>
      <c r="D120" s="314">
        <v>6870109</v>
      </c>
      <c r="E120" s="314">
        <v>3856538</v>
      </c>
      <c r="F120" s="314">
        <v>4854851</v>
      </c>
      <c r="G120" s="314">
        <v>0</v>
      </c>
      <c r="H120" s="314">
        <v>998313</v>
      </c>
      <c r="I120" s="314">
        <v>0</v>
      </c>
      <c r="J120" s="314">
        <v>7868422</v>
      </c>
    </row>
    <row r="121" spans="1:10">
      <c r="A121" s="314" t="s">
        <v>1304</v>
      </c>
      <c r="B121" s="314" t="s">
        <v>1748</v>
      </c>
      <c r="C121" s="314">
        <v>0</v>
      </c>
      <c r="D121" s="314">
        <v>59850</v>
      </c>
      <c r="E121" s="314">
        <v>59850</v>
      </c>
      <c r="F121" s="314">
        <v>0</v>
      </c>
      <c r="G121" s="314">
        <v>59850</v>
      </c>
      <c r="H121" s="314">
        <v>0</v>
      </c>
      <c r="I121" s="314">
        <v>0</v>
      </c>
      <c r="J121" s="314">
        <v>0</v>
      </c>
    </row>
    <row r="122" spans="1:10">
      <c r="A122" s="314" t="s">
        <v>1305</v>
      </c>
      <c r="B122" s="314" t="s">
        <v>1306</v>
      </c>
      <c r="C122" s="314">
        <v>0</v>
      </c>
      <c r="D122" s="314">
        <v>1673855</v>
      </c>
      <c r="E122" s="314">
        <v>17123150</v>
      </c>
      <c r="F122" s="314">
        <v>18461615</v>
      </c>
      <c r="G122" s="314">
        <v>0</v>
      </c>
      <c r="H122" s="314">
        <v>1338465</v>
      </c>
      <c r="I122" s="314">
        <v>0</v>
      </c>
      <c r="J122" s="314">
        <v>3012320</v>
      </c>
    </row>
    <row r="123" spans="1:10">
      <c r="A123" s="314" t="s">
        <v>1307</v>
      </c>
      <c r="B123" s="314" t="s">
        <v>1308</v>
      </c>
      <c r="C123" s="314">
        <v>0</v>
      </c>
      <c r="D123" s="314">
        <v>0</v>
      </c>
      <c r="E123" s="314">
        <v>11503</v>
      </c>
      <c r="F123" s="314">
        <v>26689</v>
      </c>
      <c r="G123" s="314">
        <v>0</v>
      </c>
      <c r="H123" s="314">
        <v>15186</v>
      </c>
      <c r="I123" s="314">
        <v>0</v>
      </c>
      <c r="J123" s="314">
        <v>15186</v>
      </c>
    </row>
    <row r="124" spans="1:10">
      <c r="A124" s="314" t="s">
        <v>1309</v>
      </c>
      <c r="B124" s="314" t="s">
        <v>1310</v>
      </c>
      <c r="C124" s="314">
        <v>0</v>
      </c>
      <c r="D124" s="314">
        <v>0</v>
      </c>
      <c r="E124" s="314">
        <v>451636</v>
      </c>
      <c r="F124" s="314">
        <v>667716</v>
      </c>
      <c r="G124" s="314">
        <v>0</v>
      </c>
      <c r="H124" s="314">
        <v>216080</v>
      </c>
      <c r="I124" s="314">
        <v>0</v>
      </c>
      <c r="J124" s="314">
        <v>216080</v>
      </c>
    </row>
    <row r="125" spans="1:10">
      <c r="A125" s="314" t="s">
        <v>1311</v>
      </c>
      <c r="B125" s="314" t="s">
        <v>1749</v>
      </c>
      <c r="C125" s="314">
        <v>0</v>
      </c>
      <c r="D125" s="314">
        <v>0</v>
      </c>
      <c r="E125" s="314">
        <v>0</v>
      </c>
      <c r="F125" s="314">
        <v>0</v>
      </c>
      <c r="G125" s="314">
        <v>0</v>
      </c>
      <c r="H125" s="314">
        <v>0</v>
      </c>
      <c r="I125" s="314">
        <v>0</v>
      </c>
      <c r="J125" s="314">
        <v>0</v>
      </c>
    </row>
    <row r="126" spans="1:10">
      <c r="A126" s="314" t="s">
        <v>1312</v>
      </c>
      <c r="B126" s="314" t="s">
        <v>1750</v>
      </c>
      <c r="C126" s="314">
        <v>0</v>
      </c>
      <c r="D126" s="314">
        <v>0</v>
      </c>
      <c r="E126" s="314">
        <v>2678748</v>
      </c>
      <c r="F126" s="314">
        <v>2678748</v>
      </c>
      <c r="G126" s="314">
        <v>0</v>
      </c>
      <c r="H126" s="314">
        <v>0</v>
      </c>
      <c r="I126" s="314">
        <v>0</v>
      </c>
      <c r="J126" s="314">
        <v>0</v>
      </c>
    </row>
    <row r="127" spans="1:10">
      <c r="A127" s="314" t="s">
        <v>1313</v>
      </c>
      <c r="B127" s="314" t="s">
        <v>1751</v>
      </c>
      <c r="C127" s="314">
        <v>0</v>
      </c>
      <c r="D127" s="314">
        <v>0</v>
      </c>
      <c r="E127" s="314">
        <v>0</v>
      </c>
      <c r="F127" s="314">
        <v>0</v>
      </c>
      <c r="G127" s="314">
        <v>0</v>
      </c>
      <c r="H127" s="314">
        <v>0</v>
      </c>
      <c r="I127" s="314">
        <v>0</v>
      </c>
      <c r="J127" s="314">
        <v>0</v>
      </c>
    </row>
    <row r="128" spans="1:10">
      <c r="A128" s="314" t="s">
        <v>1314</v>
      </c>
      <c r="B128" s="314" t="s">
        <v>1752</v>
      </c>
      <c r="C128" s="314">
        <v>0</v>
      </c>
      <c r="D128" s="314">
        <v>0</v>
      </c>
      <c r="E128" s="314">
        <v>0</v>
      </c>
      <c r="F128" s="314">
        <v>0</v>
      </c>
      <c r="G128" s="314">
        <v>0</v>
      </c>
      <c r="H128" s="314">
        <v>0</v>
      </c>
      <c r="I128" s="314">
        <v>0</v>
      </c>
      <c r="J128" s="314">
        <v>0</v>
      </c>
    </row>
    <row r="129" spans="1:10">
      <c r="A129" s="314" t="s">
        <v>1315</v>
      </c>
      <c r="B129" s="314" t="s">
        <v>132</v>
      </c>
      <c r="C129" s="314">
        <v>0</v>
      </c>
      <c r="D129" s="314">
        <v>0</v>
      </c>
      <c r="E129" s="314">
        <v>0</v>
      </c>
      <c r="F129" s="314">
        <v>0</v>
      </c>
      <c r="G129" s="314">
        <v>0</v>
      </c>
      <c r="H129" s="314">
        <v>0</v>
      </c>
      <c r="I129" s="314">
        <v>0</v>
      </c>
      <c r="J129" s="314">
        <v>0</v>
      </c>
    </row>
    <row r="130" spans="1:10">
      <c r="A130" s="314" t="s">
        <v>1316</v>
      </c>
      <c r="B130" s="314" t="s">
        <v>134</v>
      </c>
      <c r="C130" s="314">
        <v>0</v>
      </c>
      <c r="D130" s="314">
        <v>0</v>
      </c>
      <c r="E130" s="314">
        <v>0</v>
      </c>
      <c r="F130" s="314">
        <v>0</v>
      </c>
      <c r="G130" s="314">
        <v>0</v>
      </c>
      <c r="H130" s="314">
        <v>0</v>
      </c>
      <c r="I130" s="314">
        <v>0</v>
      </c>
      <c r="J130" s="314">
        <v>0</v>
      </c>
    </row>
    <row r="131" spans="1:10">
      <c r="A131" s="314" t="s">
        <v>1317</v>
      </c>
      <c r="B131" s="314" t="s">
        <v>1318</v>
      </c>
      <c r="C131" s="314">
        <v>0</v>
      </c>
      <c r="D131" s="314">
        <v>40</v>
      </c>
      <c r="E131" s="314">
        <v>29177</v>
      </c>
      <c r="F131" s="314">
        <v>30339</v>
      </c>
      <c r="G131" s="314">
        <v>0</v>
      </c>
      <c r="H131" s="314">
        <v>1162</v>
      </c>
      <c r="I131" s="314">
        <v>0</v>
      </c>
      <c r="J131" s="314">
        <v>1202</v>
      </c>
    </row>
    <row r="132" spans="1:10">
      <c r="A132" s="314" t="s">
        <v>1319</v>
      </c>
      <c r="B132" s="314" t="s">
        <v>1753</v>
      </c>
      <c r="C132" s="314">
        <v>0</v>
      </c>
      <c r="D132" s="314">
        <v>0</v>
      </c>
      <c r="E132" s="314">
        <v>0</v>
      </c>
      <c r="F132" s="314">
        <v>0</v>
      </c>
      <c r="G132" s="314">
        <v>0</v>
      </c>
      <c r="H132" s="314">
        <v>0</v>
      </c>
      <c r="I132" s="314">
        <v>0</v>
      </c>
      <c r="J132" s="314">
        <v>0</v>
      </c>
    </row>
    <row r="133" spans="1:10">
      <c r="A133" s="314" t="s">
        <v>1320</v>
      </c>
      <c r="B133" s="314" t="s">
        <v>182</v>
      </c>
      <c r="C133" s="314">
        <v>0</v>
      </c>
      <c r="D133" s="314">
        <v>0</v>
      </c>
      <c r="E133" s="314">
        <v>0</v>
      </c>
      <c r="F133" s="314">
        <v>0</v>
      </c>
      <c r="G133" s="314">
        <v>0</v>
      </c>
      <c r="H133" s="314">
        <v>0</v>
      </c>
      <c r="I133" s="314">
        <v>0</v>
      </c>
      <c r="J133" s="314">
        <v>0</v>
      </c>
    </row>
    <row r="134" spans="1:10">
      <c r="A134" s="314" t="s">
        <v>1321</v>
      </c>
      <c r="B134" s="314" t="s">
        <v>183</v>
      </c>
      <c r="C134" s="314">
        <v>0</v>
      </c>
      <c r="D134" s="314">
        <v>0</v>
      </c>
      <c r="E134" s="314">
        <v>0</v>
      </c>
      <c r="F134" s="314">
        <v>0</v>
      </c>
      <c r="G134" s="314">
        <v>0</v>
      </c>
      <c r="H134" s="314">
        <v>0</v>
      </c>
      <c r="I134" s="314">
        <v>0</v>
      </c>
      <c r="J134" s="314">
        <v>0</v>
      </c>
    </row>
    <row r="135" spans="1:10">
      <c r="A135" s="314" t="s">
        <v>1322</v>
      </c>
      <c r="B135" s="314" t="s">
        <v>128</v>
      </c>
      <c r="C135" s="314">
        <v>0</v>
      </c>
      <c r="D135" s="314">
        <v>0</v>
      </c>
      <c r="E135" s="314">
        <v>0</v>
      </c>
      <c r="F135" s="314">
        <v>0</v>
      </c>
      <c r="G135" s="314">
        <v>0</v>
      </c>
      <c r="H135" s="314">
        <v>0</v>
      </c>
      <c r="I135" s="314">
        <v>0</v>
      </c>
      <c r="J135" s="314">
        <v>0</v>
      </c>
    </row>
    <row r="136" spans="1:10">
      <c r="A136" s="314" t="s">
        <v>1323</v>
      </c>
      <c r="B136" s="314" t="s">
        <v>1754</v>
      </c>
      <c r="C136" s="314">
        <v>0</v>
      </c>
      <c r="D136" s="314">
        <v>0</v>
      </c>
      <c r="E136" s="314">
        <v>0</v>
      </c>
      <c r="F136" s="314">
        <v>0</v>
      </c>
      <c r="G136" s="314">
        <v>0</v>
      </c>
      <c r="H136" s="314">
        <v>0</v>
      </c>
      <c r="I136" s="314">
        <v>0</v>
      </c>
      <c r="J136" s="314">
        <v>0</v>
      </c>
    </row>
    <row r="137" spans="1:10">
      <c r="A137" s="314" t="s">
        <v>1324</v>
      </c>
      <c r="B137" s="314" t="s">
        <v>140</v>
      </c>
      <c r="C137" s="314">
        <v>0</v>
      </c>
      <c r="D137" s="314">
        <v>0</v>
      </c>
      <c r="E137" s="314">
        <v>0</v>
      </c>
      <c r="F137" s="314">
        <v>0</v>
      </c>
      <c r="G137" s="314">
        <v>0</v>
      </c>
      <c r="H137" s="314">
        <v>0</v>
      </c>
      <c r="I137" s="314">
        <v>0</v>
      </c>
      <c r="J137" s="314">
        <v>0</v>
      </c>
    </row>
    <row r="138" spans="1:10">
      <c r="A138" s="314" t="s">
        <v>1325</v>
      </c>
      <c r="B138" s="314" t="s">
        <v>1755</v>
      </c>
      <c r="C138" s="314">
        <v>0</v>
      </c>
      <c r="D138" s="314">
        <v>0</v>
      </c>
      <c r="E138" s="314">
        <v>0</v>
      </c>
      <c r="F138" s="314">
        <v>0</v>
      </c>
      <c r="G138" s="314">
        <v>0</v>
      </c>
      <c r="H138" s="314">
        <v>0</v>
      </c>
      <c r="I138" s="314">
        <v>0</v>
      </c>
      <c r="J138" s="314">
        <v>0</v>
      </c>
    </row>
    <row r="139" spans="1:10">
      <c r="A139" s="314" t="s">
        <v>779</v>
      </c>
      <c r="B139" s="314" t="s">
        <v>1756</v>
      </c>
      <c r="C139" s="314">
        <v>0</v>
      </c>
      <c r="D139" s="314">
        <v>0</v>
      </c>
      <c r="E139" s="314">
        <v>0</v>
      </c>
      <c r="F139" s="314">
        <v>0</v>
      </c>
      <c r="G139" s="314">
        <v>0</v>
      </c>
      <c r="H139" s="314">
        <v>0</v>
      </c>
      <c r="I139" s="314">
        <v>0</v>
      </c>
      <c r="J139" s="314">
        <v>0</v>
      </c>
    </row>
    <row r="140" spans="1:10">
      <c r="A140" s="314" t="s">
        <v>781</v>
      </c>
      <c r="B140" s="314" t="s">
        <v>1707</v>
      </c>
      <c r="C140" s="314">
        <v>0</v>
      </c>
      <c r="D140" s="314">
        <v>0</v>
      </c>
      <c r="E140" s="314">
        <v>0</v>
      </c>
      <c r="F140" s="314">
        <v>0</v>
      </c>
      <c r="G140" s="314">
        <v>0</v>
      </c>
      <c r="H140" s="314">
        <v>0</v>
      </c>
      <c r="I140" s="314">
        <v>0</v>
      </c>
      <c r="J140" s="314">
        <v>0</v>
      </c>
    </row>
    <row r="141" spans="1:10">
      <c r="A141" s="314" t="s">
        <v>1326</v>
      </c>
      <c r="B141" s="314" t="s">
        <v>1757</v>
      </c>
      <c r="C141" s="314">
        <v>0</v>
      </c>
      <c r="D141" s="314">
        <v>0</v>
      </c>
      <c r="E141" s="314">
        <v>0</v>
      </c>
      <c r="F141" s="314">
        <v>0</v>
      </c>
      <c r="G141" s="314">
        <v>0</v>
      </c>
      <c r="H141" s="314">
        <v>0</v>
      </c>
      <c r="I141" s="314">
        <v>0</v>
      </c>
      <c r="J141" s="314">
        <v>0</v>
      </c>
    </row>
    <row r="142" spans="1:10">
      <c r="A142" s="314" t="s">
        <v>1327</v>
      </c>
      <c r="B142" s="314" t="s">
        <v>1758</v>
      </c>
      <c r="C142" s="314">
        <v>0</v>
      </c>
      <c r="D142" s="314">
        <v>0</v>
      </c>
      <c r="E142" s="314">
        <v>0</v>
      </c>
      <c r="F142" s="314">
        <v>0</v>
      </c>
      <c r="G142" s="314">
        <v>0</v>
      </c>
      <c r="H142" s="314">
        <v>0</v>
      </c>
      <c r="I142" s="314">
        <v>0</v>
      </c>
      <c r="J142" s="314">
        <v>0</v>
      </c>
    </row>
    <row r="143" spans="1:10">
      <c r="A143" s="314" t="s">
        <v>1328</v>
      </c>
      <c r="B143" s="314" t="s">
        <v>1759</v>
      </c>
      <c r="C143" s="314">
        <v>0</v>
      </c>
      <c r="D143" s="314">
        <v>0</v>
      </c>
      <c r="E143" s="314">
        <v>0</v>
      </c>
      <c r="F143" s="314">
        <v>0</v>
      </c>
      <c r="G143" s="314">
        <v>0</v>
      </c>
      <c r="H143" s="314">
        <v>0</v>
      </c>
      <c r="I143" s="314">
        <v>0</v>
      </c>
      <c r="J143" s="314">
        <v>0</v>
      </c>
    </row>
    <row r="144" spans="1:10">
      <c r="A144" s="314" t="s">
        <v>1329</v>
      </c>
      <c r="B144" s="314" t="s">
        <v>1760</v>
      </c>
      <c r="C144" s="314">
        <v>0</v>
      </c>
      <c r="D144" s="314">
        <v>0</v>
      </c>
      <c r="E144" s="314">
        <v>0</v>
      </c>
      <c r="F144" s="314">
        <v>0</v>
      </c>
      <c r="G144" s="314">
        <v>0</v>
      </c>
      <c r="H144" s="314">
        <v>0</v>
      </c>
      <c r="I144" s="314">
        <v>0</v>
      </c>
      <c r="J144" s="314">
        <v>0</v>
      </c>
    </row>
    <row r="145" spans="1:10">
      <c r="A145" s="314" t="s">
        <v>1330</v>
      </c>
      <c r="B145" s="314" t="s">
        <v>1761</v>
      </c>
      <c r="C145" s="314">
        <v>0</v>
      </c>
      <c r="D145" s="314">
        <v>0</v>
      </c>
      <c r="E145" s="314">
        <v>0</v>
      </c>
      <c r="F145" s="314">
        <v>0</v>
      </c>
      <c r="G145" s="314">
        <v>0</v>
      </c>
      <c r="H145" s="314">
        <v>0</v>
      </c>
      <c r="I145" s="314">
        <v>0</v>
      </c>
      <c r="J145" s="314">
        <v>0</v>
      </c>
    </row>
    <row r="146" spans="1:10">
      <c r="A146" s="314" t="s">
        <v>1331</v>
      </c>
      <c r="B146" s="314" t="s">
        <v>1762</v>
      </c>
      <c r="C146" s="314">
        <v>0</v>
      </c>
      <c r="D146" s="314">
        <v>0</v>
      </c>
      <c r="E146" s="314">
        <v>0</v>
      </c>
      <c r="F146" s="314">
        <v>0</v>
      </c>
      <c r="G146" s="314">
        <v>0</v>
      </c>
      <c r="H146" s="314">
        <v>0</v>
      </c>
      <c r="I146" s="314">
        <v>0</v>
      </c>
      <c r="J146" s="314">
        <v>0</v>
      </c>
    </row>
    <row r="147" spans="1:10">
      <c r="A147" s="314" t="s">
        <v>1332</v>
      </c>
      <c r="B147" s="314" t="s">
        <v>1763</v>
      </c>
      <c r="C147" s="314">
        <v>0</v>
      </c>
      <c r="D147" s="314">
        <v>0</v>
      </c>
      <c r="E147" s="314">
        <v>0</v>
      </c>
      <c r="F147" s="314">
        <v>0</v>
      </c>
      <c r="G147" s="314">
        <v>0</v>
      </c>
      <c r="H147" s="314">
        <v>0</v>
      </c>
      <c r="I147" s="314">
        <v>0</v>
      </c>
      <c r="J147" s="314">
        <v>0</v>
      </c>
    </row>
    <row r="148" spans="1:10">
      <c r="A148" s="314" t="s">
        <v>1333</v>
      </c>
      <c r="B148" s="314" t="s">
        <v>1334</v>
      </c>
      <c r="C148" s="314">
        <v>0</v>
      </c>
      <c r="D148" s="314">
        <v>153206</v>
      </c>
      <c r="E148" s="314">
        <v>958917</v>
      </c>
      <c r="F148" s="314">
        <v>1013129</v>
      </c>
      <c r="G148" s="314">
        <v>0</v>
      </c>
      <c r="H148" s="314">
        <v>54212</v>
      </c>
      <c r="I148" s="314">
        <v>0</v>
      </c>
      <c r="J148" s="314">
        <v>207418</v>
      </c>
    </row>
    <row r="149" spans="1:10">
      <c r="A149" s="314" t="s">
        <v>1335</v>
      </c>
      <c r="B149" s="314" t="s">
        <v>1764</v>
      </c>
      <c r="C149" s="314">
        <v>0</v>
      </c>
      <c r="D149" s="314">
        <v>0</v>
      </c>
      <c r="E149" s="314">
        <v>0</v>
      </c>
      <c r="F149" s="314">
        <v>0</v>
      </c>
      <c r="G149" s="314">
        <v>0</v>
      </c>
      <c r="H149" s="314">
        <v>0</v>
      </c>
      <c r="I149" s="314">
        <v>0</v>
      </c>
      <c r="J149" s="314">
        <v>0</v>
      </c>
    </row>
    <row r="150" spans="1:10">
      <c r="A150" s="314" t="s">
        <v>1336</v>
      </c>
      <c r="B150" s="314" t="s">
        <v>1765</v>
      </c>
      <c r="C150" s="314">
        <v>0</v>
      </c>
      <c r="D150" s="314">
        <v>0</v>
      </c>
      <c r="E150" s="314">
        <v>0</v>
      </c>
      <c r="F150" s="314">
        <v>0</v>
      </c>
      <c r="G150" s="314">
        <v>0</v>
      </c>
      <c r="H150" s="314">
        <v>0</v>
      </c>
      <c r="I150" s="314">
        <v>0</v>
      </c>
      <c r="J150" s="314">
        <v>0</v>
      </c>
    </row>
    <row r="151" spans="1:10">
      <c r="A151" s="314" t="s">
        <v>795</v>
      </c>
      <c r="B151" s="314" t="s">
        <v>188</v>
      </c>
      <c r="C151" s="314">
        <v>0</v>
      </c>
      <c r="D151" s="314">
        <v>0</v>
      </c>
      <c r="E151" s="314">
        <v>0</v>
      </c>
      <c r="F151" s="314">
        <v>0</v>
      </c>
      <c r="G151" s="314">
        <v>0</v>
      </c>
      <c r="H151" s="314">
        <v>0</v>
      </c>
      <c r="I151" s="314">
        <v>0</v>
      </c>
      <c r="J151" s="314">
        <v>0</v>
      </c>
    </row>
    <row r="152" spans="1:10">
      <c r="A152" s="314" t="s">
        <v>1337</v>
      </c>
      <c r="B152" s="314" t="s">
        <v>144</v>
      </c>
      <c r="C152" s="314">
        <v>0</v>
      </c>
      <c r="D152" s="314">
        <v>0</v>
      </c>
      <c r="E152" s="314">
        <v>0</v>
      </c>
      <c r="F152" s="314">
        <v>0</v>
      </c>
      <c r="G152" s="314">
        <v>0</v>
      </c>
      <c r="H152" s="314">
        <v>0</v>
      </c>
      <c r="I152" s="314">
        <v>0</v>
      </c>
      <c r="J152" s="314">
        <v>0</v>
      </c>
    </row>
    <row r="153" spans="1:10">
      <c r="A153" s="314" t="s">
        <v>1338</v>
      </c>
      <c r="B153" s="314" t="s">
        <v>145</v>
      </c>
      <c r="C153" s="314">
        <v>0</v>
      </c>
      <c r="D153" s="314">
        <v>19412464</v>
      </c>
      <c r="E153" s="314">
        <v>7811299</v>
      </c>
      <c r="F153" s="314">
        <v>10000000</v>
      </c>
      <c r="G153" s="314">
        <v>0</v>
      </c>
      <c r="H153" s="314">
        <v>2188701</v>
      </c>
      <c r="I153" s="314">
        <v>0</v>
      </c>
      <c r="J153" s="314">
        <v>21601165</v>
      </c>
    </row>
    <row r="154" spans="1:10">
      <c r="A154" s="314" t="s">
        <v>1339</v>
      </c>
      <c r="B154" s="314" t="s">
        <v>189</v>
      </c>
      <c r="C154" s="314">
        <v>0</v>
      </c>
      <c r="D154" s="314">
        <v>0</v>
      </c>
      <c r="E154" s="314">
        <v>0</v>
      </c>
      <c r="F154" s="314">
        <v>0</v>
      </c>
      <c r="G154" s="314">
        <v>0</v>
      </c>
      <c r="H154" s="314">
        <v>0</v>
      </c>
      <c r="I154" s="314">
        <v>0</v>
      </c>
      <c r="J154" s="314">
        <v>0</v>
      </c>
    </row>
    <row r="155" spans="1:10">
      <c r="A155" s="314" t="s">
        <v>1340</v>
      </c>
      <c r="B155" s="314" t="s">
        <v>190</v>
      </c>
      <c r="C155" s="314">
        <v>0</v>
      </c>
      <c r="D155" s="314">
        <v>0</v>
      </c>
      <c r="E155" s="314">
        <v>0</v>
      </c>
      <c r="F155" s="314">
        <v>0</v>
      </c>
      <c r="G155" s="314">
        <v>0</v>
      </c>
      <c r="H155" s="314">
        <v>0</v>
      </c>
      <c r="I155" s="314">
        <v>0</v>
      </c>
      <c r="J155" s="314">
        <v>0</v>
      </c>
    </row>
    <row r="156" spans="1:10">
      <c r="A156" s="314" t="s">
        <v>1341</v>
      </c>
      <c r="B156" s="314" t="s">
        <v>1766</v>
      </c>
      <c r="C156" s="314">
        <v>0</v>
      </c>
      <c r="D156" s="314">
        <v>0</v>
      </c>
      <c r="E156" s="314">
        <v>0</v>
      </c>
      <c r="F156" s="314">
        <v>0</v>
      </c>
      <c r="G156" s="314">
        <v>0</v>
      </c>
      <c r="H156" s="314">
        <v>0</v>
      </c>
      <c r="I156" s="314">
        <v>0</v>
      </c>
      <c r="J156" s="314">
        <v>0</v>
      </c>
    </row>
    <row r="157" spans="1:10">
      <c r="A157" s="314" t="s">
        <v>1342</v>
      </c>
      <c r="B157" s="314" t="s">
        <v>1767</v>
      </c>
      <c r="C157" s="314">
        <v>0</v>
      </c>
      <c r="D157" s="314">
        <v>0</v>
      </c>
      <c r="E157" s="314">
        <v>0</v>
      </c>
      <c r="F157" s="314">
        <v>0</v>
      </c>
      <c r="G157" s="314">
        <v>0</v>
      </c>
      <c r="H157" s="314">
        <v>0</v>
      </c>
      <c r="I157" s="314">
        <v>0</v>
      </c>
      <c r="J157" s="314">
        <v>0</v>
      </c>
    </row>
    <row r="158" spans="1:10">
      <c r="A158" s="314" t="s">
        <v>1343</v>
      </c>
      <c r="B158" s="314" t="s">
        <v>1768</v>
      </c>
      <c r="C158" s="314">
        <v>0</v>
      </c>
      <c r="D158" s="314">
        <v>0</v>
      </c>
      <c r="E158" s="314">
        <v>0</v>
      </c>
      <c r="F158" s="314">
        <v>0</v>
      </c>
      <c r="G158" s="314">
        <v>0</v>
      </c>
      <c r="H158" s="314">
        <v>0</v>
      </c>
      <c r="I158" s="314">
        <v>0</v>
      </c>
      <c r="J158" s="314">
        <v>0</v>
      </c>
    </row>
    <row r="159" spans="1:10">
      <c r="A159" s="314" t="s">
        <v>1344</v>
      </c>
      <c r="B159" s="314" t="s">
        <v>1769</v>
      </c>
      <c r="C159" s="314">
        <v>0</v>
      </c>
      <c r="D159" s="314">
        <v>0</v>
      </c>
      <c r="E159" s="314">
        <v>300000</v>
      </c>
      <c r="F159" s="314">
        <v>300000</v>
      </c>
      <c r="G159" s="314">
        <v>0</v>
      </c>
      <c r="H159" s="314">
        <v>0</v>
      </c>
      <c r="I159" s="314">
        <v>0</v>
      </c>
      <c r="J159" s="314">
        <v>0</v>
      </c>
    </row>
    <row r="160" spans="1:10">
      <c r="A160" s="314" t="s">
        <v>1345</v>
      </c>
      <c r="B160" s="314" t="s">
        <v>1770</v>
      </c>
      <c r="C160" s="314">
        <v>0</v>
      </c>
      <c r="D160" s="314">
        <v>0</v>
      </c>
      <c r="E160" s="314">
        <v>0</v>
      </c>
      <c r="F160" s="314">
        <v>0</v>
      </c>
      <c r="G160" s="314">
        <v>0</v>
      </c>
      <c r="H160" s="314">
        <v>0</v>
      </c>
      <c r="I160" s="314">
        <v>0</v>
      </c>
      <c r="J160" s="314">
        <v>0</v>
      </c>
    </row>
    <row r="161" spans="1:10">
      <c r="A161" s="314" t="s">
        <v>1346</v>
      </c>
      <c r="B161" s="314" t="s">
        <v>1771</v>
      </c>
      <c r="C161" s="314">
        <v>0</v>
      </c>
      <c r="D161" s="314">
        <v>0</v>
      </c>
      <c r="E161" s="314">
        <v>0</v>
      </c>
      <c r="F161" s="314">
        <v>0</v>
      </c>
      <c r="G161" s="314">
        <v>0</v>
      </c>
      <c r="H161" s="314">
        <v>0</v>
      </c>
      <c r="I161" s="314">
        <v>0</v>
      </c>
      <c r="J161" s="314">
        <v>0</v>
      </c>
    </row>
    <row r="162" spans="1:10">
      <c r="A162" s="314" t="s">
        <v>1347</v>
      </c>
      <c r="B162" s="314" t="s">
        <v>1772</v>
      </c>
      <c r="C162" s="314">
        <v>0</v>
      </c>
      <c r="D162" s="314">
        <v>0</v>
      </c>
      <c r="E162" s="314">
        <v>0</v>
      </c>
      <c r="F162" s="314">
        <v>0</v>
      </c>
      <c r="G162" s="314">
        <v>0</v>
      </c>
      <c r="H162" s="314">
        <v>0</v>
      </c>
      <c r="I162" s="314">
        <v>0</v>
      </c>
      <c r="J162" s="314">
        <v>0</v>
      </c>
    </row>
    <row r="163" spans="1:10">
      <c r="A163" s="314" t="s">
        <v>1348</v>
      </c>
      <c r="B163" s="314" t="s">
        <v>149</v>
      </c>
      <c r="C163" s="314">
        <v>0</v>
      </c>
      <c r="D163" s="314">
        <v>0</v>
      </c>
      <c r="E163" s="314">
        <v>0</v>
      </c>
      <c r="F163" s="314">
        <v>0</v>
      </c>
      <c r="G163" s="314">
        <v>0</v>
      </c>
      <c r="H163" s="314">
        <v>0</v>
      </c>
      <c r="I163" s="314">
        <v>0</v>
      </c>
      <c r="J163" s="314">
        <v>0</v>
      </c>
    </row>
    <row r="164" spans="1:10">
      <c r="A164" s="314" t="s">
        <v>1349</v>
      </c>
      <c r="B164" s="314" t="s">
        <v>1773</v>
      </c>
      <c r="C164" s="314">
        <v>0</v>
      </c>
      <c r="D164" s="314">
        <v>0</v>
      </c>
      <c r="E164" s="314">
        <v>0</v>
      </c>
      <c r="F164" s="314">
        <v>0</v>
      </c>
      <c r="G164" s="314">
        <v>0</v>
      </c>
      <c r="H164" s="314">
        <v>0</v>
      </c>
      <c r="I164" s="314">
        <v>0</v>
      </c>
      <c r="J164" s="314">
        <v>0</v>
      </c>
    </row>
    <row r="165" spans="1:10">
      <c r="A165" s="314" t="s">
        <v>1350</v>
      </c>
      <c r="B165" s="314" t="s">
        <v>1774</v>
      </c>
      <c r="C165" s="314">
        <v>0</v>
      </c>
      <c r="D165" s="314">
        <v>0</v>
      </c>
      <c r="E165" s="314">
        <v>0</v>
      </c>
      <c r="F165" s="314">
        <v>0</v>
      </c>
      <c r="G165" s="314">
        <v>0</v>
      </c>
      <c r="H165" s="314">
        <v>0</v>
      </c>
      <c r="I165" s="314">
        <v>0</v>
      </c>
      <c r="J165" s="314">
        <v>0</v>
      </c>
    </row>
    <row r="166" spans="1:10">
      <c r="A166" s="314" t="s">
        <v>1351</v>
      </c>
      <c r="B166" s="314" t="s">
        <v>1775</v>
      </c>
      <c r="C166" s="314">
        <v>0</v>
      </c>
      <c r="D166" s="314">
        <v>0</v>
      </c>
      <c r="E166" s="314">
        <v>0</v>
      </c>
      <c r="F166" s="314">
        <v>0</v>
      </c>
      <c r="G166" s="314">
        <v>0</v>
      </c>
      <c r="H166" s="314">
        <v>0</v>
      </c>
      <c r="I166" s="314">
        <v>0</v>
      </c>
      <c r="J166" s="314">
        <v>0</v>
      </c>
    </row>
    <row r="167" spans="1:10">
      <c r="A167" s="314" t="s">
        <v>1352</v>
      </c>
      <c r="B167" s="314" t="s">
        <v>1776</v>
      </c>
      <c r="C167" s="314">
        <v>0</v>
      </c>
      <c r="D167" s="314">
        <v>0</v>
      </c>
      <c r="E167" s="314">
        <v>0</v>
      </c>
      <c r="F167" s="314">
        <v>0</v>
      </c>
      <c r="G167" s="314">
        <v>0</v>
      </c>
      <c r="H167" s="314">
        <v>0</v>
      </c>
      <c r="I167" s="314">
        <v>0</v>
      </c>
      <c r="J167" s="314">
        <v>0</v>
      </c>
    </row>
    <row r="168" spans="1:10">
      <c r="A168" s="314" t="s">
        <v>1353</v>
      </c>
      <c r="B168" s="314" t="s">
        <v>1777</v>
      </c>
      <c r="C168" s="314">
        <v>0</v>
      </c>
      <c r="D168" s="314">
        <v>0</v>
      </c>
      <c r="E168" s="314">
        <v>0</v>
      </c>
      <c r="F168" s="314">
        <v>0</v>
      </c>
      <c r="G168" s="314">
        <v>0</v>
      </c>
      <c r="H168" s="314">
        <v>0</v>
      </c>
      <c r="I168" s="314">
        <v>0</v>
      </c>
      <c r="J168" s="314">
        <v>0</v>
      </c>
    </row>
    <row r="169" spans="1:10">
      <c r="A169" s="314" t="s">
        <v>1354</v>
      </c>
      <c r="B169" s="314" t="s">
        <v>1778</v>
      </c>
      <c r="C169" s="314">
        <v>0</v>
      </c>
      <c r="D169" s="314">
        <v>0</v>
      </c>
      <c r="E169" s="314">
        <v>0</v>
      </c>
      <c r="F169" s="314">
        <v>0</v>
      </c>
      <c r="G169" s="314">
        <v>0</v>
      </c>
      <c r="H169" s="314">
        <v>0</v>
      </c>
      <c r="I169" s="314">
        <v>0</v>
      </c>
      <c r="J169" s="314">
        <v>0</v>
      </c>
    </row>
    <row r="170" spans="1:10">
      <c r="A170" s="314" t="s">
        <v>1355</v>
      </c>
      <c r="B170" s="314" t="s">
        <v>1356</v>
      </c>
      <c r="C170" s="314">
        <v>0</v>
      </c>
      <c r="D170" s="314">
        <v>0</v>
      </c>
      <c r="E170" s="314">
        <v>0</v>
      </c>
      <c r="F170" s="314">
        <v>0</v>
      </c>
      <c r="G170" s="314">
        <v>0</v>
      </c>
      <c r="H170" s="314">
        <v>0</v>
      </c>
      <c r="I170" s="314">
        <v>0</v>
      </c>
      <c r="J170" s="314">
        <v>0</v>
      </c>
    </row>
    <row r="171" spans="1:10">
      <c r="A171" s="314" t="s">
        <v>1357</v>
      </c>
      <c r="B171" s="314" t="s">
        <v>1358</v>
      </c>
      <c r="C171" s="314">
        <v>0</v>
      </c>
      <c r="D171" s="314">
        <v>0</v>
      </c>
      <c r="E171" s="314">
        <v>0</v>
      </c>
      <c r="F171" s="314">
        <v>0</v>
      </c>
      <c r="G171" s="314">
        <v>0</v>
      </c>
      <c r="H171" s="314">
        <v>0</v>
      </c>
      <c r="I171" s="314">
        <v>0</v>
      </c>
      <c r="J171" s="314">
        <v>0</v>
      </c>
    </row>
    <row r="172" spans="1:10">
      <c r="A172" s="314" t="s">
        <v>1359</v>
      </c>
      <c r="B172" s="314" t="s">
        <v>1360</v>
      </c>
      <c r="C172" s="314">
        <v>0</v>
      </c>
      <c r="D172" s="314">
        <v>90000000</v>
      </c>
      <c r="E172" s="314">
        <v>0</v>
      </c>
      <c r="F172" s="314">
        <v>0</v>
      </c>
      <c r="G172" s="314">
        <v>0</v>
      </c>
      <c r="H172" s="314">
        <v>0</v>
      </c>
      <c r="I172" s="314">
        <v>0</v>
      </c>
      <c r="J172" s="314">
        <v>90000000</v>
      </c>
    </row>
    <row r="173" spans="1:10">
      <c r="A173" s="314" t="s">
        <v>1361</v>
      </c>
      <c r="B173" s="314" t="s">
        <v>1779</v>
      </c>
      <c r="C173" s="314">
        <v>0</v>
      </c>
      <c r="D173" s="314">
        <v>0</v>
      </c>
      <c r="E173" s="314">
        <v>0</v>
      </c>
      <c r="F173" s="314">
        <v>0</v>
      </c>
      <c r="G173" s="314">
        <v>0</v>
      </c>
      <c r="H173" s="314">
        <v>0</v>
      </c>
      <c r="I173" s="314">
        <v>0</v>
      </c>
      <c r="J173" s="314">
        <v>0</v>
      </c>
    </row>
    <row r="174" spans="1:10">
      <c r="A174" s="314" t="s">
        <v>1362</v>
      </c>
      <c r="B174" s="314" t="s">
        <v>1780</v>
      </c>
      <c r="C174" s="314">
        <v>0</v>
      </c>
      <c r="D174" s="314">
        <v>0</v>
      </c>
      <c r="E174" s="314">
        <v>0</v>
      </c>
      <c r="F174" s="314">
        <v>0</v>
      </c>
      <c r="G174" s="314">
        <v>0</v>
      </c>
      <c r="H174" s="314">
        <v>0</v>
      </c>
      <c r="I174" s="314">
        <v>0</v>
      </c>
      <c r="J174" s="314">
        <v>0</v>
      </c>
    </row>
    <row r="175" spans="1:10">
      <c r="A175" s="314" t="s">
        <v>1363</v>
      </c>
      <c r="B175" s="314" t="s">
        <v>154</v>
      </c>
      <c r="C175" s="314">
        <v>0</v>
      </c>
      <c r="D175" s="314">
        <v>1400000</v>
      </c>
      <c r="E175" s="314">
        <v>0</v>
      </c>
      <c r="F175" s="314">
        <v>0</v>
      </c>
      <c r="G175" s="314">
        <v>0</v>
      </c>
      <c r="H175" s="314">
        <v>0</v>
      </c>
      <c r="I175" s="314">
        <v>0</v>
      </c>
      <c r="J175" s="314">
        <v>1400000</v>
      </c>
    </row>
    <row r="176" spans="1:10">
      <c r="A176" s="314" t="s">
        <v>1364</v>
      </c>
      <c r="B176" s="314" t="s">
        <v>155</v>
      </c>
      <c r="C176" s="314">
        <v>0</v>
      </c>
      <c r="D176" s="314">
        <v>0</v>
      </c>
      <c r="E176" s="314">
        <v>0</v>
      </c>
      <c r="F176" s="314">
        <v>0</v>
      </c>
      <c r="G176" s="314">
        <v>0</v>
      </c>
      <c r="H176" s="314">
        <v>0</v>
      </c>
      <c r="I176" s="314">
        <v>0</v>
      </c>
      <c r="J176" s="314">
        <v>0</v>
      </c>
    </row>
    <row r="177" spans="1:10">
      <c r="A177" s="314" t="s">
        <v>1365</v>
      </c>
      <c r="B177" s="314" t="s">
        <v>156</v>
      </c>
      <c r="C177" s="314">
        <v>0</v>
      </c>
      <c r="D177" s="314">
        <v>0</v>
      </c>
      <c r="E177" s="314">
        <v>0</v>
      </c>
      <c r="F177" s="314">
        <v>0</v>
      </c>
      <c r="G177" s="314">
        <v>0</v>
      </c>
      <c r="H177" s="314">
        <v>0</v>
      </c>
      <c r="I177" s="314">
        <v>0</v>
      </c>
      <c r="J177" s="314">
        <v>0</v>
      </c>
    </row>
    <row r="178" spans="1:10">
      <c r="A178" s="314" t="s">
        <v>1366</v>
      </c>
      <c r="B178" s="314" t="s">
        <v>1781</v>
      </c>
      <c r="C178" s="314">
        <v>0</v>
      </c>
      <c r="D178" s="314">
        <v>0</v>
      </c>
      <c r="E178" s="314">
        <v>0</v>
      </c>
      <c r="F178" s="314">
        <v>0</v>
      </c>
      <c r="G178" s="314">
        <v>0</v>
      </c>
      <c r="H178" s="314">
        <v>0</v>
      </c>
      <c r="I178" s="314">
        <v>0</v>
      </c>
      <c r="J178" s="314">
        <v>0</v>
      </c>
    </row>
    <row r="179" spans="1:10">
      <c r="A179" s="314" t="s">
        <v>985</v>
      </c>
      <c r="B179" s="314" t="s">
        <v>1782</v>
      </c>
      <c r="C179" s="314">
        <v>0</v>
      </c>
      <c r="D179" s="314">
        <v>0</v>
      </c>
      <c r="E179" s="314">
        <v>0</v>
      </c>
      <c r="F179" s="314">
        <v>0</v>
      </c>
      <c r="G179" s="314">
        <v>0</v>
      </c>
      <c r="H179" s="314">
        <v>0</v>
      </c>
      <c r="I179" s="314">
        <v>0</v>
      </c>
      <c r="J179" s="314">
        <v>0</v>
      </c>
    </row>
    <row r="180" spans="1:10">
      <c r="A180" s="314" t="s">
        <v>1367</v>
      </c>
      <c r="B180" s="314" t="s">
        <v>157</v>
      </c>
      <c r="C180" s="314">
        <v>0</v>
      </c>
      <c r="D180" s="314">
        <v>0</v>
      </c>
      <c r="E180" s="314">
        <v>0</v>
      </c>
      <c r="F180" s="314">
        <v>0</v>
      </c>
      <c r="G180" s="314">
        <v>0</v>
      </c>
      <c r="H180" s="314">
        <v>0</v>
      </c>
      <c r="I180" s="314">
        <v>0</v>
      </c>
      <c r="J180" s="314">
        <v>0</v>
      </c>
    </row>
    <row r="181" spans="1:10">
      <c r="A181" s="314" t="s">
        <v>1368</v>
      </c>
      <c r="B181" s="314" t="s">
        <v>1783</v>
      </c>
      <c r="C181" s="314">
        <v>0</v>
      </c>
      <c r="D181" s="314">
        <v>0</v>
      </c>
      <c r="E181" s="314">
        <v>0</v>
      </c>
      <c r="F181" s="314">
        <v>0</v>
      </c>
      <c r="G181" s="314">
        <v>0</v>
      </c>
      <c r="H181" s="314">
        <v>0</v>
      </c>
      <c r="I181" s="314">
        <v>0</v>
      </c>
      <c r="J181" s="314">
        <v>0</v>
      </c>
    </row>
    <row r="182" spans="1:10">
      <c r="A182" s="314" t="s">
        <v>1369</v>
      </c>
      <c r="B182" s="314" t="s">
        <v>1784</v>
      </c>
      <c r="C182" s="314">
        <v>0</v>
      </c>
      <c r="D182" s="314">
        <v>0</v>
      </c>
      <c r="E182" s="314">
        <v>0</v>
      </c>
      <c r="F182" s="314">
        <v>0</v>
      </c>
      <c r="G182" s="314">
        <v>0</v>
      </c>
      <c r="H182" s="314">
        <v>0</v>
      </c>
      <c r="I182" s="314">
        <v>0</v>
      </c>
      <c r="J182" s="314">
        <v>0</v>
      </c>
    </row>
    <row r="183" spans="1:10">
      <c r="A183" s="314" t="s">
        <v>1370</v>
      </c>
      <c r="B183" s="314" t="s">
        <v>1371</v>
      </c>
      <c r="C183" s="314">
        <v>0</v>
      </c>
      <c r="D183" s="314">
        <v>0</v>
      </c>
      <c r="E183" s="314">
        <v>0</v>
      </c>
      <c r="F183" s="314">
        <v>0</v>
      </c>
      <c r="G183" s="314">
        <v>0</v>
      </c>
      <c r="H183" s="314">
        <v>0</v>
      </c>
      <c r="I183" s="314">
        <v>0</v>
      </c>
      <c r="J183" s="314">
        <v>0</v>
      </c>
    </row>
    <row r="184" spans="1:10">
      <c r="A184" s="314" t="s">
        <v>1372</v>
      </c>
      <c r="B184" s="314" t="s">
        <v>1785</v>
      </c>
      <c r="C184" s="314">
        <v>0</v>
      </c>
      <c r="D184" s="314">
        <v>0</v>
      </c>
      <c r="E184" s="314">
        <v>0</v>
      </c>
      <c r="F184" s="314">
        <v>0</v>
      </c>
      <c r="G184" s="314">
        <v>0</v>
      </c>
      <c r="H184" s="314">
        <v>0</v>
      </c>
      <c r="I184" s="314">
        <v>0</v>
      </c>
      <c r="J184" s="314">
        <v>0</v>
      </c>
    </row>
    <row r="185" spans="1:10">
      <c r="A185" s="314" t="s">
        <v>1373</v>
      </c>
      <c r="B185" s="314" t="s">
        <v>1374</v>
      </c>
      <c r="C185" s="314">
        <v>30313711</v>
      </c>
      <c r="D185" s="314">
        <v>0</v>
      </c>
      <c r="E185" s="314">
        <v>0</v>
      </c>
      <c r="F185" s="314">
        <v>0</v>
      </c>
      <c r="G185" s="314">
        <v>0</v>
      </c>
      <c r="H185" s="314">
        <v>0</v>
      </c>
      <c r="I185" s="314">
        <v>30313711</v>
      </c>
      <c r="J185" s="314">
        <v>0</v>
      </c>
    </row>
    <row r="186" spans="1:10">
      <c r="A186" s="314" t="s">
        <v>1375</v>
      </c>
      <c r="B186" s="314" t="s">
        <v>1786</v>
      </c>
      <c r="C186" s="314">
        <v>0</v>
      </c>
      <c r="D186" s="314">
        <v>0</v>
      </c>
      <c r="E186" s="314">
        <v>0</v>
      </c>
      <c r="F186" s="314">
        <v>0</v>
      </c>
      <c r="G186" s="314">
        <v>0</v>
      </c>
      <c r="H186" s="314">
        <v>0</v>
      </c>
      <c r="I186" s="314">
        <v>0</v>
      </c>
      <c r="J186" s="314">
        <v>0</v>
      </c>
    </row>
    <row r="187" spans="1:10">
      <c r="A187" s="314" t="s">
        <v>1376</v>
      </c>
      <c r="B187" s="314" t="s">
        <v>1787</v>
      </c>
      <c r="C187" s="314">
        <v>0</v>
      </c>
      <c r="D187" s="314">
        <v>0</v>
      </c>
      <c r="E187" s="314">
        <v>0</v>
      </c>
      <c r="F187" s="314">
        <v>0</v>
      </c>
      <c r="G187" s="314">
        <v>0</v>
      </c>
      <c r="H187" s="314">
        <v>0</v>
      </c>
      <c r="I187" s="314">
        <v>0</v>
      </c>
      <c r="J187" s="314">
        <v>0</v>
      </c>
    </row>
    <row r="188" spans="1:10">
      <c r="A188" s="314" t="s">
        <v>1377</v>
      </c>
      <c r="B188" s="314" t="s">
        <v>1378</v>
      </c>
      <c r="C188" s="314">
        <v>0</v>
      </c>
      <c r="D188" s="314">
        <v>0</v>
      </c>
      <c r="E188" s="314">
        <v>0</v>
      </c>
      <c r="F188" s="314">
        <v>0</v>
      </c>
      <c r="G188" s="314">
        <v>0</v>
      </c>
      <c r="H188" s="314">
        <v>0</v>
      </c>
      <c r="I188" s="314">
        <v>0</v>
      </c>
      <c r="J188" s="314">
        <v>0</v>
      </c>
    </row>
    <row r="189" spans="1:10">
      <c r="A189" s="314" t="s">
        <v>1379</v>
      </c>
      <c r="B189" s="314" t="s">
        <v>1788</v>
      </c>
      <c r="C189" s="314">
        <v>0</v>
      </c>
      <c r="D189" s="314">
        <v>0</v>
      </c>
      <c r="E189" s="314">
        <v>0</v>
      </c>
      <c r="F189" s="314">
        <v>0</v>
      </c>
      <c r="G189" s="314">
        <v>0</v>
      </c>
      <c r="H189" s="314">
        <v>0</v>
      </c>
      <c r="I189" s="314">
        <v>0</v>
      </c>
      <c r="J189" s="314">
        <v>0</v>
      </c>
    </row>
    <row r="190" spans="1:10">
      <c r="A190" s="314" t="s">
        <v>1380</v>
      </c>
      <c r="B190" s="314" t="s">
        <v>194</v>
      </c>
      <c r="C190" s="314">
        <v>0</v>
      </c>
      <c r="D190" s="314">
        <v>0</v>
      </c>
      <c r="E190" s="314">
        <v>0</v>
      </c>
      <c r="F190" s="314">
        <v>0</v>
      </c>
      <c r="G190" s="314">
        <v>0</v>
      </c>
      <c r="H190" s="314">
        <v>0</v>
      </c>
      <c r="I190" s="314">
        <v>0</v>
      </c>
      <c r="J190" s="314">
        <v>0</v>
      </c>
    </row>
    <row r="191" spans="1:10">
      <c r="A191" s="314" t="s">
        <v>1381</v>
      </c>
      <c r="B191" s="314" t="s">
        <v>1789</v>
      </c>
      <c r="C191" s="314">
        <v>0</v>
      </c>
      <c r="D191" s="314">
        <v>0</v>
      </c>
      <c r="E191" s="314">
        <v>0</v>
      </c>
      <c r="F191" s="314">
        <v>0</v>
      </c>
      <c r="G191" s="314">
        <v>0</v>
      </c>
      <c r="H191" s="314">
        <v>0</v>
      </c>
      <c r="I191" s="314">
        <v>0</v>
      </c>
      <c r="J191" s="314">
        <v>0</v>
      </c>
    </row>
    <row r="192" spans="1:10">
      <c r="A192" s="314" t="s">
        <v>1382</v>
      </c>
      <c r="B192" s="314" t="s">
        <v>78</v>
      </c>
      <c r="C192" s="314">
        <v>0</v>
      </c>
      <c r="D192" s="314">
        <v>0</v>
      </c>
      <c r="E192" s="314">
        <v>0</v>
      </c>
      <c r="F192" s="314">
        <v>0</v>
      </c>
      <c r="G192" s="314">
        <v>0</v>
      </c>
      <c r="H192" s="314">
        <v>0</v>
      </c>
      <c r="I192" s="314">
        <v>0</v>
      </c>
      <c r="J192" s="314">
        <v>0</v>
      </c>
    </row>
    <row r="193" spans="1:10">
      <c r="A193" s="314" t="s">
        <v>1383</v>
      </c>
      <c r="B193" s="314" t="s">
        <v>160</v>
      </c>
      <c r="C193" s="314">
        <v>0</v>
      </c>
      <c r="D193" s="314">
        <v>0</v>
      </c>
      <c r="E193" s="314">
        <v>0</v>
      </c>
      <c r="F193" s="314">
        <v>0</v>
      </c>
      <c r="G193" s="314">
        <v>0</v>
      </c>
      <c r="H193" s="314">
        <v>0</v>
      </c>
      <c r="I193" s="314">
        <v>0</v>
      </c>
      <c r="J193" s="314">
        <v>0</v>
      </c>
    </row>
    <row r="194" spans="1:10">
      <c r="A194" s="314" t="s">
        <v>1384</v>
      </c>
      <c r="B194" s="314" t="s">
        <v>1790</v>
      </c>
      <c r="C194" s="314">
        <v>0</v>
      </c>
      <c r="D194" s="314">
        <v>0</v>
      </c>
      <c r="E194" s="314">
        <v>0</v>
      </c>
      <c r="F194" s="314">
        <v>0</v>
      </c>
      <c r="G194" s="314">
        <v>0</v>
      </c>
      <c r="H194" s="314">
        <v>0</v>
      </c>
      <c r="I194" s="314">
        <v>0</v>
      </c>
      <c r="J194" s="314">
        <v>0</v>
      </c>
    </row>
    <row r="195" spans="1:10">
      <c r="A195" s="314" t="s">
        <v>1385</v>
      </c>
      <c r="B195" s="314" t="s">
        <v>1791</v>
      </c>
      <c r="C195" s="314">
        <v>0</v>
      </c>
      <c r="D195" s="314">
        <v>0</v>
      </c>
      <c r="E195" s="314">
        <v>0</v>
      </c>
      <c r="F195" s="314">
        <v>0</v>
      </c>
      <c r="G195" s="314">
        <v>0</v>
      </c>
      <c r="H195" s="314">
        <v>0</v>
      </c>
      <c r="I195" s="314">
        <v>0</v>
      </c>
      <c r="J195" s="314">
        <v>0</v>
      </c>
    </row>
    <row r="196" spans="1:10">
      <c r="A196" s="314" t="s">
        <v>1386</v>
      </c>
      <c r="B196" s="314" t="s">
        <v>1792</v>
      </c>
      <c r="C196" s="314">
        <v>0</v>
      </c>
      <c r="D196" s="314">
        <v>0</v>
      </c>
      <c r="E196" s="314">
        <v>0</v>
      </c>
      <c r="F196" s="314">
        <v>0</v>
      </c>
      <c r="G196" s="314">
        <v>0</v>
      </c>
      <c r="H196" s="314">
        <v>0</v>
      </c>
      <c r="I196" s="314">
        <v>0</v>
      </c>
      <c r="J196" s="314">
        <v>0</v>
      </c>
    </row>
    <row r="197" spans="1:10">
      <c r="A197" s="314" t="s">
        <v>1387</v>
      </c>
      <c r="B197" s="314" t="s">
        <v>1793</v>
      </c>
      <c r="C197" s="314">
        <v>0</v>
      </c>
      <c r="D197" s="314">
        <v>0</v>
      </c>
      <c r="E197" s="314">
        <v>0</v>
      </c>
      <c r="F197" s="314">
        <v>0</v>
      </c>
      <c r="G197" s="314">
        <v>0</v>
      </c>
      <c r="H197" s="314">
        <v>0</v>
      </c>
      <c r="I197" s="314">
        <v>0</v>
      </c>
      <c r="J197" s="314">
        <v>0</v>
      </c>
    </row>
    <row r="198" spans="1:10">
      <c r="A198" s="314" t="s">
        <v>1388</v>
      </c>
      <c r="B198" s="314" t="s">
        <v>163</v>
      </c>
      <c r="C198" s="314">
        <v>0</v>
      </c>
      <c r="D198" s="314">
        <v>0</v>
      </c>
      <c r="E198" s="314">
        <v>0</v>
      </c>
      <c r="F198" s="314">
        <v>0</v>
      </c>
      <c r="G198" s="314">
        <v>0</v>
      </c>
      <c r="H198" s="314">
        <v>0</v>
      </c>
      <c r="I198" s="314">
        <v>0</v>
      </c>
      <c r="J198" s="314">
        <v>0</v>
      </c>
    </row>
    <row r="199" spans="1:10">
      <c r="A199" s="314" t="s">
        <v>1389</v>
      </c>
      <c r="B199" s="314" t="s">
        <v>199</v>
      </c>
      <c r="C199" s="314">
        <v>0</v>
      </c>
      <c r="D199" s="314">
        <v>0</v>
      </c>
      <c r="E199" s="314">
        <v>0</v>
      </c>
      <c r="F199" s="314">
        <v>0</v>
      </c>
      <c r="G199" s="314">
        <v>0</v>
      </c>
      <c r="H199" s="314">
        <v>0</v>
      </c>
      <c r="I199" s="314">
        <v>0</v>
      </c>
      <c r="J199" s="314">
        <v>0</v>
      </c>
    </row>
    <row r="200" spans="1:10">
      <c r="A200" s="314" t="s">
        <v>1390</v>
      </c>
      <c r="B200" s="314" t="s">
        <v>1583</v>
      </c>
      <c r="C200" s="314">
        <v>0</v>
      </c>
      <c r="D200" s="314">
        <v>0</v>
      </c>
      <c r="E200" s="314">
        <v>0</v>
      </c>
      <c r="F200" s="314">
        <v>0</v>
      </c>
      <c r="G200" s="314">
        <v>0</v>
      </c>
      <c r="H200" s="314">
        <v>0</v>
      </c>
      <c r="I200" s="314">
        <v>0</v>
      </c>
      <c r="J200" s="314">
        <v>0</v>
      </c>
    </row>
    <row r="201" spans="1:10">
      <c r="A201" s="314" t="s">
        <v>1391</v>
      </c>
      <c r="B201" s="314" t="s">
        <v>1794</v>
      </c>
      <c r="C201" s="314">
        <v>0</v>
      </c>
      <c r="D201" s="314">
        <v>0</v>
      </c>
      <c r="E201" s="314">
        <v>3807148</v>
      </c>
      <c r="F201" s="314">
        <v>57160151</v>
      </c>
      <c r="G201" s="314">
        <v>0</v>
      </c>
      <c r="H201" s="314">
        <v>53353003</v>
      </c>
      <c r="I201" s="314">
        <v>0</v>
      </c>
      <c r="J201" s="314">
        <v>53353003</v>
      </c>
    </row>
    <row r="202" spans="1:10">
      <c r="A202" s="314" t="s">
        <v>1392</v>
      </c>
      <c r="B202" s="314" t="s">
        <v>1795</v>
      </c>
      <c r="C202" s="314">
        <v>0</v>
      </c>
      <c r="D202" s="314">
        <v>0</v>
      </c>
      <c r="E202" s="314">
        <v>43213</v>
      </c>
      <c r="F202" s="314">
        <v>43213</v>
      </c>
      <c r="G202" s="314">
        <v>0</v>
      </c>
      <c r="H202" s="314">
        <v>0</v>
      </c>
      <c r="I202" s="314">
        <v>0</v>
      </c>
      <c r="J202" s="314">
        <v>0</v>
      </c>
    </row>
    <row r="203" spans="1:10">
      <c r="A203" s="314" t="s">
        <v>1393</v>
      </c>
      <c r="B203" s="314" t="s">
        <v>1796</v>
      </c>
      <c r="C203" s="314">
        <v>0</v>
      </c>
      <c r="D203" s="314">
        <v>0</v>
      </c>
      <c r="E203" s="314">
        <v>0</v>
      </c>
      <c r="F203" s="314">
        <v>0</v>
      </c>
      <c r="G203" s="314">
        <v>0</v>
      </c>
      <c r="H203" s="314">
        <v>0</v>
      </c>
      <c r="I203" s="314">
        <v>0</v>
      </c>
      <c r="J203" s="314">
        <v>0</v>
      </c>
    </row>
    <row r="204" spans="1:10">
      <c r="A204" s="314" t="s">
        <v>1394</v>
      </c>
      <c r="B204" s="314" t="s">
        <v>1797</v>
      </c>
      <c r="C204" s="314">
        <v>0</v>
      </c>
      <c r="D204" s="314">
        <v>0</v>
      </c>
      <c r="E204" s="314">
        <v>0</v>
      </c>
      <c r="F204" s="314">
        <v>0</v>
      </c>
      <c r="G204" s="314">
        <v>0</v>
      </c>
      <c r="H204" s="314">
        <v>0</v>
      </c>
      <c r="I204" s="314">
        <v>0</v>
      </c>
      <c r="J204" s="314">
        <v>0</v>
      </c>
    </row>
    <row r="205" spans="1:10">
      <c r="A205" s="314" t="s">
        <v>1395</v>
      </c>
      <c r="B205" s="314" t="s">
        <v>1798</v>
      </c>
      <c r="C205" s="314">
        <v>0</v>
      </c>
      <c r="D205" s="314">
        <v>0</v>
      </c>
      <c r="E205" s="314">
        <v>0</v>
      </c>
      <c r="F205" s="314">
        <v>0</v>
      </c>
      <c r="G205" s="314">
        <v>0</v>
      </c>
      <c r="H205" s="314">
        <v>0</v>
      </c>
      <c r="I205" s="314">
        <v>0</v>
      </c>
      <c r="J205" s="314">
        <v>0</v>
      </c>
    </row>
    <row r="206" spans="1:10">
      <c r="A206" s="314" t="s">
        <v>1396</v>
      </c>
      <c r="B206" s="314" t="s">
        <v>1799</v>
      </c>
      <c r="C206" s="314">
        <v>0</v>
      </c>
      <c r="D206" s="314">
        <v>0</v>
      </c>
      <c r="E206" s="314">
        <v>0</v>
      </c>
      <c r="F206" s="314">
        <v>0</v>
      </c>
      <c r="G206" s="314">
        <v>0</v>
      </c>
      <c r="H206" s="314">
        <v>0</v>
      </c>
      <c r="I206" s="314">
        <v>0</v>
      </c>
      <c r="J206" s="314">
        <v>0</v>
      </c>
    </row>
    <row r="207" spans="1:10">
      <c r="A207" s="314" t="s">
        <v>1397</v>
      </c>
      <c r="B207" s="314" t="s">
        <v>1800</v>
      </c>
      <c r="C207" s="314">
        <v>0</v>
      </c>
      <c r="D207" s="314">
        <v>0</v>
      </c>
      <c r="E207" s="314">
        <v>14590</v>
      </c>
      <c r="F207" s="314">
        <v>14590</v>
      </c>
      <c r="G207" s="314">
        <v>0</v>
      </c>
      <c r="H207" s="314">
        <v>0</v>
      </c>
      <c r="I207" s="314">
        <v>0</v>
      </c>
      <c r="J207" s="314">
        <v>0</v>
      </c>
    </row>
    <row r="208" spans="1:10">
      <c r="A208" s="314" t="s">
        <v>1398</v>
      </c>
      <c r="B208" s="314" t="s">
        <v>1801</v>
      </c>
      <c r="C208" s="314">
        <v>0</v>
      </c>
      <c r="D208" s="314">
        <v>0</v>
      </c>
      <c r="E208" s="314">
        <v>753724</v>
      </c>
      <c r="F208" s="314">
        <v>36</v>
      </c>
      <c r="G208" s="314">
        <v>753688</v>
      </c>
      <c r="H208" s="314">
        <v>0</v>
      </c>
      <c r="I208" s="314">
        <v>753688</v>
      </c>
      <c r="J208" s="314">
        <v>0</v>
      </c>
    </row>
    <row r="209" spans="1:10">
      <c r="A209" s="314" t="s">
        <v>1399</v>
      </c>
      <c r="B209" s="314" t="s">
        <v>1584</v>
      </c>
      <c r="C209" s="314">
        <v>0</v>
      </c>
      <c r="D209" s="314">
        <v>0</v>
      </c>
      <c r="E209" s="314">
        <v>0</v>
      </c>
      <c r="F209" s="314">
        <v>0</v>
      </c>
      <c r="G209" s="314">
        <v>0</v>
      </c>
      <c r="H209" s="314">
        <v>0</v>
      </c>
      <c r="I209" s="314">
        <v>0</v>
      </c>
      <c r="J209" s="314">
        <v>0</v>
      </c>
    </row>
    <row r="210" spans="1:10">
      <c r="A210" s="314" t="s">
        <v>1400</v>
      </c>
      <c r="B210" s="314" t="s">
        <v>1802</v>
      </c>
      <c r="C210" s="314">
        <v>0</v>
      </c>
      <c r="D210" s="314">
        <v>0</v>
      </c>
      <c r="E210" s="314">
        <v>0</v>
      </c>
      <c r="F210" s="314">
        <v>0</v>
      </c>
      <c r="G210" s="314">
        <v>0</v>
      </c>
      <c r="H210" s="314">
        <v>0</v>
      </c>
      <c r="I210" s="314">
        <v>0</v>
      </c>
      <c r="J210" s="314">
        <v>0</v>
      </c>
    </row>
    <row r="211" spans="1:10">
      <c r="A211" s="314" t="s">
        <v>1401</v>
      </c>
      <c r="B211" s="314" t="s">
        <v>1803</v>
      </c>
      <c r="C211" s="314">
        <v>0</v>
      </c>
      <c r="D211" s="314">
        <v>0</v>
      </c>
      <c r="E211" s="314">
        <v>0</v>
      </c>
      <c r="F211" s="314">
        <v>0</v>
      </c>
      <c r="G211" s="314">
        <v>0</v>
      </c>
      <c r="H211" s="314">
        <v>0</v>
      </c>
      <c r="I211" s="314">
        <v>0</v>
      </c>
      <c r="J211" s="314">
        <v>0</v>
      </c>
    </row>
    <row r="212" spans="1:10">
      <c r="A212" s="314" t="s">
        <v>1402</v>
      </c>
      <c r="B212" s="314" t="s">
        <v>1804</v>
      </c>
      <c r="C212" s="314">
        <v>0</v>
      </c>
      <c r="D212" s="314">
        <v>0</v>
      </c>
      <c r="E212" s="314">
        <v>0</v>
      </c>
      <c r="F212" s="314">
        <v>0</v>
      </c>
      <c r="G212" s="314">
        <v>0</v>
      </c>
      <c r="H212" s="314">
        <v>0</v>
      </c>
      <c r="I212" s="314">
        <v>0</v>
      </c>
      <c r="J212" s="314">
        <v>0</v>
      </c>
    </row>
    <row r="213" spans="1:10">
      <c r="A213" s="314" t="s">
        <v>1403</v>
      </c>
      <c r="B213" s="314" t="s">
        <v>1805</v>
      </c>
      <c r="C213" s="314">
        <v>0</v>
      </c>
      <c r="D213" s="314">
        <v>0</v>
      </c>
      <c r="E213" s="314">
        <v>0</v>
      </c>
      <c r="F213" s="314">
        <v>0</v>
      </c>
      <c r="G213" s="314">
        <v>0</v>
      </c>
      <c r="H213" s="314">
        <v>0</v>
      </c>
      <c r="I213" s="314">
        <v>0</v>
      </c>
      <c r="J213" s="314">
        <v>0</v>
      </c>
    </row>
    <row r="214" spans="1:10">
      <c r="A214" s="314" t="s">
        <v>1404</v>
      </c>
      <c r="B214" s="314" t="s">
        <v>1806</v>
      </c>
      <c r="C214" s="314">
        <v>0</v>
      </c>
      <c r="D214" s="314">
        <v>0</v>
      </c>
      <c r="E214" s="314">
        <v>0</v>
      </c>
      <c r="F214" s="314">
        <v>0</v>
      </c>
      <c r="G214" s="314">
        <v>0</v>
      </c>
      <c r="H214" s="314">
        <v>0</v>
      </c>
      <c r="I214" s="314">
        <v>0</v>
      </c>
      <c r="J214" s="314">
        <v>0</v>
      </c>
    </row>
    <row r="215" spans="1:10">
      <c r="A215" s="314" t="s">
        <v>1405</v>
      </c>
      <c r="B215" s="314" t="s">
        <v>1807</v>
      </c>
      <c r="C215" s="314">
        <v>0</v>
      </c>
      <c r="D215" s="314">
        <v>0</v>
      </c>
      <c r="E215" s="314">
        <v>0</v>
      </c>
      <c r="F215" s="314">
        <v>0</v>
      </c>
      <c r="G215" s="314">
        <v>0</v>
      </c>
      <c r="H215" s="314">
        <v>0</v>
      </c>
      <c r="I215" s="314">
        <v>0</v>
      </c>
      <c r="J215" s="314">
        <v>0</v>
      </c>
    </row>
    <row r="216" spans="1:10">
      <c r="A216" s="314" t="s">
        <v>1406</v>
      </c>
      <c r="B216" s="314" t="s">
        <v>1808</v>
      </c>
      <c r="C216" s="314">
        <v>0</v>
      </c>
      <c r="D216" s="314">
        <v>0</v>
      </c>
      <c r="E216" s="314">
        <v>0</v>
      </c>
      <c r="F216" s="314">
        <v>0</v>
      </c>
      <c r="G216" s="314">
        <v>0</v>
      </c>
      <c r="H216" s="314">
        <v>0</v>
      </c>
      <c r="I216" s="314">
        <v>0</v>
      </c>
      <c r="J216" s="314">
        <v>0</v>
      </c>
    </row>
    <row r="217" spans="1:10">
      <c r="A217" s="314" t="s">
        <v>1407</v>
      </c>
      <c r="B217" s="314" t="s">
        <v>1809</v>
      </c>
      <c r="C217" s="314">
        <v>0</v>
      </c>
      <c r="D217" s="314">
        <v>0</v>
      </c>
      <c r="E217" s="314">
        <v>0</v>
      </c>
      <c r="F217" s="314">
        <v>0</v>
      </c>
      <c r="G217" s="314">
        <v>0</v>
      </c>
      <c r="H217" s="314">
        <v>0</v>
      </c>
      <c r="I217" s="314">
        <v>0</v>
      </c>
      <c r="J217" s="314">
        <v>0</v>
      </c>
    </row>
    <row r="218" spans="1:10">
      <c r="A218" s="314" t="s">
        <v>1408</v>
      </c>
      <c r="B218" s="314" t="s">
        <v>1585</v>
      </c>
      <c r="C218" s="314">
        <v>0</v>
      </c>
      <c r="D218" s="314">
        <v>0</v>
      </c>
      <c r="E218" s="314">
        <v>0</v>
      </c>
      <c r="F218" s="314">
        <v>0</v>
      </c>
      <c r="G218" s="314">
        <v>0</v>
      </c>
      <c r="H218" s="314">
        <v>0</v>
      </c>
      <c r="I218" s="314">
        <v>0</v>
      </c>
      <c r="J218" s="314">
        <v>0</v>
      </c>
    </row>
    <row r="219" spans="1:10">
      <c r="A219" s="314" t="s">
        <v>1409</v>
      </c>
      <c r="B219" s="314" t="s">
        <v>1810</v>
      </c>
      <c r="C219" s="314">
        <v>0</v>
      </c>
      <c r="D219" s="314">
        <v>0</v>
      </c>
      <c r="E219" s="314">
        <v>0</v>
      </c>
      <c r="F219" s="314">
        <v>0</v>
      </c>
      <c r="G219" s="314">
        <v>0</v>
      </c>
      <c r="H219" s="314">
        <v>0</v>
      </c>
      <c r="I219" s="314">
        <v>0</v>
      </c>
      <c r="J219" s="314">
        <v>0</v>
      </c>
    </row>
    <row r="220" spans="1:10">
      <c r="A220" s="314" t="s">
        <v>1410</v>
      </c>
      <c r="B220" s="314" t="s">
        <v>1811</v>
      </c>
      <c r="C220" s="314">
        <v>0</v>
      </c>
      <c r="D220" s="314">
        <v>0</v>
      </c>
      <c r="E220" s="314">
        <v>0</v>
      </c>
      <c r="F220" s="314">
        <v>0</v>
      </c>
      <c r="G220" s="314">
        <v>0</v>
      </c>
      <c r="H220" s="314">
        <v>0</v>
      </c>
      <c r="I220" s="314">
        <v>0</v>
      </c>
      <c r="J220" s="314">
        <v>0</v>
      </c>
    </row>
    <row r="221" spans="1:10">
      <c r="A221" s="314" t="s">
        <v>1411</v>
      </c>
      <c r="B221" s="314" t="s">
        <v>1812</v>
      </c>
      <c r="C221" s="314">
        <v>0</v>
      </c>
      <c r="D221" s="314">
        <v>0</v>
      </c>
      <c r="E221" s="314">
        <v>9574501</v>
      </c>
      <c r="F221" s="314">
        <v>0</v>
      </c>
      <c r="G221" s="314">
        <v>9574501</v>
      </c>
      <c r="H221" s="314">
        <v>0</v>
      </c>
      <c r="I221" s="314">
        <v>9574501</v>
      </c>
      <c r="J221" s="314">
        <v>0</v>
      </c>
    </row>
    <row r="222" spans="1:10">
      <c r="A222" s="314" t="s">
        <v>1412</v>
      </c>
      <c r="B222" s="314" t="s">
        <v>1813</v>
      </c>
      <c r="C222" s="314">
        <v>0</v>
      </c>
      <c r="D222" s="314">
        <v>0</v>
      </c>
      <c r="E222" s="314">
        <v>0</v>
      </c>
      <c r="F222" s="314">
        <v>0</v>
      </c>
      <c r="G222" s="314">
        <v>0</v>
      </c>
      <c r="H222" s="314">
        <v>0</v>
      </c>
      <c r="I222" s="314">
        <v>0</v>
      </c>
      <c r="J222" s="314">
        <v>0</v>
      </c>
    </row>
    <row r="223" spans="1:10">
      <c r="A223" s="314" t="s">
        <v>1413</v>
      </c>
      <c r="B223" s="314" t="s">
        <v>1814</v>
      </c>
      <c r="C223" s="314">
        <v>0</v>
      </c>
      <c r="D223" s="314">
        <v>0</v>
      </c>
      <c r="E223" s="314">
        <v>0</v>
      </c>
      <c r="F223" s="314">
        <v>0</v>
      </c>
      <c r="G223" s="314">
        <v>0</v>
      </c>
      <c r="H223" s="314">
        <v>0</v>
      </c>
      <c r="I223" s="314">
        <v>0</v>
      </c>
      <c r="J223" s="314">
        <v>0</v>
      </c>
    </row>
    <row r="224" spans="1:10">
      <c r="A224" s="314" t="s">
        <v>1414</v>
      </c>
      <c r="B224" s="314" t="s">
        <v>1815</v>
      </c>
      <c r="C224" s="314">
        <v>0</v>
      </c>
      <c r="D224" s="314">
        <v>0</v>
      </c>
      <c r="E224" s="314">
        <v>0</v>
      </c>
      <c r="F224" s="314">
        <v>2961265</v>
      </c>
      <c r="G224" s="314">
        <v>0</v>
      </c>
      <c r="H224" s="314">
        <v>2961265</v>
      </c>
      <c r="I224" s="314">
        <v>0</v>
      </c>
      <c r="J224" s="314">
        <v>2961265</v>
      </c>
    </row>
    <row r="225" spans="1:10">
      <c r="A225" s="314" t="s">
        <v>1415</v>
      </c>
      <c r="B225" s="314" t="s">
        <v>1816</v>
      </c>
      <c r="C225" s="314">
        <v>0</v>
      </c>
      <c r="D225" s="314">
        <v>0</v>
      </c>
      <c r="E225" s="314">
        <v>0</v>
      </c>
      <c r="F225" s="314">
        <v>0</v>
      </c>
      <c r="G225" s="314">
        <v>0</v>
      </c>
      <c r="H225" s="314">
        <v>0</v>
      </c>
      <c r="I225" s="314">
        <v>0</v>
      </c>
      <c r="J225" s="314">
        <v>0</v>
      </c>
    </row>
    <row r="226" spans="1:10">
      <c r="A226" s="314" t="s">
        <v>1416</v>
      </c>
      <c r="B226" s="314" t="s">
        <v>1817</v>
      </c>
      <c r="C226" s="314">
        <v>0</v>
      </c>
      <c r="D226" s="314">
        <v>0</v>
      </c>
      <c r="E226" s="314">
        <v>0</v>
      </c>
      <c r="F226" s="314">
        <v>0</v>
      </c>
      <c r="G226" s="314">
        <v>0</v>
      </c>
      <c r="H226" s="314">
        <v>0</v>
      </c>
      <c r="I226" s="314">
        <v>0</v>
      </c>
      <c r="J226" s="314">
        <v>0</v>
      </c>
    </row>
    <row r="227" spans="1:10">
      <c r="A227" s="314" t="s">
        <v>1417</v>
      </c>
      <c r="B227" s="314" t="s">
        <v>1818</v>
      </c>
      <c r="C227" s="314">
        <v>0</v>
      </c>
      <c r="D227" s="314">
        <v>0</v>
      </c>
      <c r="E227" s="314">
        <v>0</v>
      </c>
      <c r="F227" s="314">
        <v>0</v>
      </c>
      <c r="G227" s="314">
        <v>0</v>
      </c>
      <c r="H227" s="314">
        <v>0</v>
      </c>
      <c r="I227" s="314">
        <v>0</v>
      </c>
      <c r="J227" s="314">
        <v>0</v>
      </c>
    </row>
    <row r="228" spans="1:10">
      <c r="A228" s="314" t="s">
        <v>1418</v>
      </c>
      <c r="B228" s="314" t="s">
        <v>1819</v>
      </c>
      <c r="C228" s="314">
        <v>0</v>
      </c>
      <c r="D228" s="314">
        <v>0</v>
      </c>
      <c r="E228" s="314">
        <v>0</v>
      </c>
      <c r="F228" s="314">
        <v>0</v>
      </c>
      <c r="G228" s="314">
        <v>0</v>
      </c>
      <c r="H228" s="314">
        <v>0</v>
      </c>
      <c r="I228" s="314">
        <v>0</v>
      </c>
      <c r="J228" s="314">
        <v>0</v>
      </c>
    </row>
    <row r="229" spans="1:10">
      <c r="A229" s="314" t="s">
        <v>1419</v>
      </c>
      <c r="B229" s="314" t="s">
        <v>1820</v>
      </c>
      <c r="C229" s="314">
        <v>0</v>
      </c>
      <c r="D229" s="314">
        <v>0</v>
      </c>
      <c r="E229" s="314">
        <v>0</v>
      </c>
      <c r="F229" s="314">
        <v>0</v>
      </c>
      <c r="G229" s="314">
        <v>0</v>
      </c>
      <c r="H229" s="314">
        <v>0</v>
      </c>
      <c r="I229" s="314">
        <v>0</v>
      </c>
      <c r="J229" s="314">
        <v>0</v>
      </c>
    </row>
    <row r="230" spans="1:10">
      <c r="A230" s="314" t="s">
        <v>1420</v>
      </c>
      <c r="B230" s="314" t="s">
        <v>1821</v>
      </c>
      <c r="C230" s="314">
        <v>0</v>
      </c>
      <c r="D230" s="314">
        <v>0</v>
      </c>
      <c r="E230" s="314">
        <v>0</v>
      </c>
      <c r="F230" s="314">
        <v>0</v>
      </c>
      <c r="G230" s="314">
        <v>0</v>
      </c>
      <c r="H230" s="314">
        <v>0</v>
      </c>
      <c r="I230" s="314">
        <v>0</v>
      </c>
      <c r="J230" s="314">
        <v>0</v>
      </c>
    </row>
    <row r="231" spans="1:10">
      <c r="A231" s="314" t="s">
        <v>1421</v>
      </c>
      <c r="B231" s="314" t="s">
        <v>1822</v>
      </c>
      <c r="C231" s="314">
        <v>0</v>
      </c>
      <c r="D231" s="314">
        <v>0</v>
      </c>
      <c r="E231" s="314">
        <v>0</v>
      </c>
      <c r="F231" s="314">
        <v>0</v>
      </c>
      <c r="G231" s="314">
        <v>0</v>
      </c>
      <c r="H231" s="314">
        <v>0</v>
      </c>
      <c r="I231" s="314">
        <v>0</v>
      </c>
      <c r="J231" s="314">
        <v>0</v>
      </c>
    </row>
    <row r="232" spans="1:10">
      <c r="A232" s="314" t="s">
        <v>1422</v>
      </c>
      <c r="B232" s="314" t="s">
        <v>1823</v>
      </c>
      <c r="C232" s="314">
        <v>0</v>
      </c>
      <c r="D232" s="314">
        <v>0</v>
      </c>
      <c r="E232" s="314">
        <v>0</v>
      </c>
      <c r="F232" s="314">
        <v>0</v>
      </c>
      <c r="G232" s="314">
        <v>0</v>
      </c>
      <c r="H232" s="314">
        <v>0</v>
      </c>
      <c r="I232" s="314">
        <v>0</v>
      </c>
      <c r="J232" s="314">
        <v>0</v>
      </c>
    </row>
    <row r="233" spans="1:10">
      <c r="A233" s="314" t="s">
        <v>1423</v>
      </c>
      <c r="B233" s="314" t="s">
        <v>1824</v>
      </c>
      <c r="C233" s="314">
        <v>0</v>
      </c>
      <c r="D233" s="314">
        <v>0</v>
      </c>
      <c r="E233" s="314">
        <v>0</v>
      </c>
      <c r="F233" s="314">
        <v>0</v>
      </c>
      <c r="G233" s="314">
        <v>0</v>
      </c>
      <c r="H233" s="314">
        <v>0</v>
      </c>
      <c r="I233" s="314">
        <v>0</v>
      </c>
      <c r="J233" s="314">
        <v>0</v>
      </c>
    </row>
    <row r="234" spans="1:10">
      <c r="A234" s="314" t="s">
        <v>1424</v>
      </c>
      <c r="B234" s="314" t="s">
        <v>1825</v>
      </c>
      <c r="C234" s="314">
        <v>0</v>
      </c>
      <c r="D234" s="314">
        <v>0</v>
      </c>
      <c r="E234" s="314">
        <v>0</v>
      </c>
      <c r="F234" s="314">
        <v>0</v>
      </c>
      <c r="G234" s="314">
        <v>0</v>
      </c>
      <c r="H234" s="314">
        <v>0</v>
      </c>
      <c r="I234" s="314">
        <v>0</v>
      </c>
      <c r="J234" s="314">
        <v>0</v>
      </c>
    </row>
    <row r="235" spans="1:10">
      <c r="A235" s="314" t="s">
        <v>1425</v>
      </c>
      <c r="B235" s="314" t="s">
        <v>1826</v>
      </c>
      <c r="C235" s="314">
        <v>0</v>
      </c>
      <c r="D235" s="314">
        <v>0</v>
      </c>
      <c r="E235" s="314">
        <v>0</v>
      </c>
      <c r="F235" s="314">
        <v>0</v>
      </c>
      <c r="G235" s="314">
        <v>0</v>
      </c>
      <c r="H235" s="314">
        <v>0</v>
      </c>
      <c r="I235" s="314">
        <v>0</v>
      </c>
      <c r="J235" s="314">
        <v>0</v>
      </c>
    </row>
    <row r="236" spans="1:10">
      <c r="A236" s="314" t="s">
        <v>1426</v>
      </c>
      <c r="B236" s="314" t="s">
        <v>1586</v>
      </c>
      <c r="C236" s="314">
        <v>0</v>
      </c>
      <c r="D236" s="314">
        <v>0</v>
      </c>
      <c r="E236" s="314">
        <v>7014248</v>
      </c>
      <c r="F236" s="314">
        <v>0</v>
      </c>
      <c r="G236" s="314">
        <v>7014248</v>
      </c>
      <c r="H236" s="314">
        <v>0</v>
      </c>
      <c r="I236" s="314">
        <v>7014248</v>
      </c>
      <c r="J236" s="314">
        <v>0</v>
      </c>
    </row>
    <row r="237" spans="1:10">
      <c r="A237" s="314" t="s">
        <v>1427</v>
      </c>
      <c r="B237" s="314" t="s">
        <v>1587</v>
      </c>
      <c r="C237" s="314">
        <v>0</v>
      </c>
      <c r="D237" s="314">
        <v>0</v>
      </c>
      <c r="E237" s="314">
        <v>1242398</v>
      </c>
      <c r="F237" s="314">
        <v>0</v>
      </c>
      <c r="G237" s="314">
        <v>1242398</v>
      </c>
      <c r="H237" s="314">
        <v>0</v>
      </c>
      <c r="I237" s="314">
        <v>1242398</v>
      </c>
      <c r="J237" s="314">
        <v>0</v>
      </c>
    </row>
    <row r="238" spans="1:10">
      <c r="A238" s="314" t="s">
        <v>1428</v>
      </c>
      <c r="B238" s="314" t="s">
        <v>1588</v>
      </c>
      <c r="C238" s="314">
        <v>0</v>
      </c>
      <c r="D238" s="314">
        <v>0</v>
      </c>
      <c r="E238" s="314">
        <v>0</v>
      </c>
      <c r="F238" s="314">
        <v>0</v>
      </c>
      <c r="G238" s="314">
        <v>0</v>
      </c>
      <c r="H238" s="314">
        <v>0</v>
      </c>
      <c r="I238" s="314">
        <v>0</v>
      </c>
      <c r="J238" s="314">
        <v>0</v>
      </c>
    </row>
    <row r="239" spans="1:10">
      <c r="A239" s="314" t="s">
        <v>1429</v>
      </c>
      <c r="B239" s="314" t="s">
        <v>1827</v>
      </c>
      <c r="C239" s="314">
        <v>0</v>
      </c>
      <c r="D239" s="314">
        <v>0</v>
      </c>
      <c r="E239" s="314">
        <v>875429</v>
      </c>
      <c r="F239" s="314">
        <v>0</v>
      </c>
      <c r="G239" s="314">
        <v>875429</v>
      </c>
      <c r="H239" s="314">
        <v>0</v>
      </c>
      <c r="I239" s="314">
        <v>875429</v>
      </c>
      <c r="J239" s="314">
        <v>0</v>
      </c>
    </row>
    <row r="240" spans="1:10">
      <c r="A240" s="314" t="s">
        <v>1430</v>
      </c>
      <c r="B240" s="314" t="s">
        <v>1828</v>
      </c>
      <c r="C240" s="314">
        <v>0</v>
      </c>
      <c r="D240" s="314">
        <v>0</v>
      </c>
      <c r="E240" s="314">
        <v>132871</v>
      </c>
      <c r="F240" s="314">
        <v>0</v>
      </c>
      <c r="G240" s="314">
        <v>132871</v>
      </c>
      <c r="H240" s="314">
        <v>0</v>
      </c>
      <c r="I240" s="314">
        <v>132871</v>
      </c>
      <c r="J240" s="314">
        <v>0</v>
      </c>
    </row>
    <row r="241" spans="1:10">
      <c r="A241" s="314" t="s">
        <v>1431</v>
      </c>
      <c r="B241" s="314" t="s">
        <v>1829</v>
      </c>
      <c r="C241" s="314">
        <v>0</v>
      </c>
      <c r="D241" s="314">
        <v>0</v>
      </c>
      <c r="E241" s="314">
        <v>0</v>
      </c>
      <c r="F241" s="314">
        <v>0</v>
      </c>
      <c r="G241" s="314">
        <v>0</v>
      </c>
      <c r="H241" s="314">
        <v>0</v>
      </c>
      <c r="I241" s="314">
        <v>0</v>
      </c>
      <c r="J241" s="314">
        <v>0</v>
      </c>
    </row>
    <row r="242" spans="1:10">
      <c r="A242" s="314" t="s">
        <v>1432</v>
      </c>
      <c r="B242" s="314" t="s">
        <v>1830</v>
      </c>
      <c r="C242" s="314">
        <v>0</v>
      </c>
      <c r="D242" s="314">
        <v>0</v>
      </c>
      <c r="E242" s="314">
        <v>420</v>
      </c>
      <c r="F242" s="314">
        <v>0</v>
      </c>
      <c r="G242" s="314">
        <v>420</v>
      </c>
      <c r="H242" s="314">
        <v>0</v>
      </c>
      <c r="I242" s="314">
        <v>420</v>
      </c>
      <c r="J242" s="314">
        <v>0</v>
      </c>
    </row>
    <row r="243" spans="1:10">
      <c r="A243" s="314" t="s">
        <v>1433</v>
      </c>
      <c r="B243" s="314" t="s">
        <v>1831</v>
      </c>
      <c r="C243" s="314">
        <v>0</v>
      </c>
      <c r="D243" s="314">
        <v>0</v>
      </c>
      <c r="E243" s="314">
        <v>11178</v>
      </c>
      <c r="F243" s="314">
        <v>0</v>
      </c>
      <c r="G243" s="314">
        <v>11178</v>
      </c>
      <c r="H243" s="314">
        <v>0</v>
      </c>
      <c r="I243" s="314">
        <v>11178</v>
      </c>
      <c r="J243" s="314">
        <v>0</v>
      </c>
    </row>
    <row r="244" spans="1:10">
      <c r="A244" s="314" t="s">
        <v>1434</v>
      </c>
      <c r="B244" s="314" t="s">
        <v>1832</v>
      </c>
      <c r="C244" s="314">
        <v>0</v>
      </c>
      <c r="D244" s="314">
        <v>0</v>
      </c>
      <c r="E244" s="314">
        <v>491</v>
      </c>
      <c r="F244" s="314">
        <v>0</v>
      </c>
      <c r="G244" s="314">
        <v>491</v>
      </c>
      <c r="H244" s="314">
        <v>0</v>
      </c>
      <c r="I244" s="314">
        <v>491</v>
      </c>
      <c r="J244" s="314">
        <v>0</v>
      </c>
    </row>
    <row r="245" spans="1:10">
      <c r="A245" s="314" t="s">
        <v>1435</v>
      </c>
      <c r="B245" s="314" t="s">
        <v>1833</v>
      </c>
      <c r="C245" s="314">
        <v>0</v>
      </c>
      <c r="D245" s="314">
        <v>0</v>
      </c>
      <c r="E245" s="314">
        <v>0</v>
      </c>
      <c r="F245" s="314">
        <v>0</v>
      </c>
      <c r="G245" s="314">
        <v>0</v>
      </c>
      <c r="H245" s="314">
        <v>0</v>
      </c>
      <c r="I245" s="314">
        <v>0</v>
      </c>
      <c r="J245" s="314">
        <v>0</v>
      </c>
    </row>
    <row r="246" spans="1:10">
      <c r="A246" s="314" t="s">
        <v>1436</v>
      </c>
      <c r="B246" s="314" t="s">
        <v>1834</v>
      </c>
      <c r="C246" s="314">
        <v>0</v>
      </c>
      <c r="D246" s="314">
        <v>0</v>
      </c>
      <c r="E246" s="314">
        <v>581081</v>
      </c>
      <c r="F246" s="314">
        <v>0</v>
      </c>
      <c r="G246" s="314">
        <v>581081</v>
      </c>
      <c r="H246" s="314">
        <v>0</v>
      </c>
      <c r="I246" s="314">
        <v>581081</v>
      </c>
      <c r="J246" s="314">
        <v>0</v>
      </c>
    </row>
    <row r="247" spans="1:10">
      <c r="A247" s="314" t="s">
        <v>1437</v>
      </c>
      <c r="B247" s="314" t="s">
        <v>1835</v>
      </c>
      <c r="C247" s="314">
        <v>0</v>
      </c>
      <c r="D247" s="314">
        <v>0</v>
      </c>
      <c r="E247" s="314">
        <v>195841</v>
      </c>
      <c r="F247" s="314">
        <v>0</v>
      </c>
      <c r="G247" s="314">
        <v>195841</v>
      </c>
      <c r="H247" s="314">
        <v>0</v>
      </c>
      <c r="I247" s="314">
        <v>195841</v>
      </c>
      <c r="J247" s="314">
        <v>0</v>
      </c>
    </row>
    <row r="248" spans="1:10">
      <c r="A248" s="314" t="s">
        <v>1438</v>
      </c>
      <c r="B248" s="314" t="s">
        <v>1836</v>
      </c>
      <c r="C248" s="314">
        <v>0</v>
      </c>
      <c r="D248" s="314">
        <v>0</v>
      </c>
      <c r="E248" s="314">
        <v>4280124</v>
      </c>
      <c r="F248" s="314">
        <v>0</v>
      </c>
      <c r="G248" s="314">
        <v>4280124</v>
      </c>
      <c r="H248" s="314">
        <v>0</v>
      </c>
      <c r="I248" s="314">
        <v>4280124</v>
      </c>
      <c r="J248" s="314">
        <v>0</v>
      </c>
    </row>
    <row r="249" spans="1:10">
      <c r="A249" s="314" t="s">
        <v>1439</v>
      </c>
      <c r="B249" s="314" t="s">
        <v>1837</v>
      </c>
      <c r="C249" s="314">
        <v>0</v>
      </c>
      <c r="D249" s="314">
        <v>0</v>
      </c>
      <c r="E249" s="314">
        <v>1165384</v>
      </c>
      <c r="F249" s="314">
        <v>126707</v>
      </c>
      <c r="G249" s="314">
        <v>1038677</v>
      </c>
      <c r="H249" s="314">
        <v>0</v>
      </c>
      <c r="I249" s="314">
        <v>1038677</v>
      </c>
      <c r="J249" s="314">
        <v>0</v>
      </c>
    </row>
    <row r="250" spans="1:10">
      <c r="A250" s="314" t="s">
        <v>1440</v>
      </c>
      <c r="B250" s="314" t="s">
        <v>1838</v>
      </c>
      <c r="C250" s="314">
        <v>0</v>
      </c>
      <c r="D250" s="314">
        <v>0</v>
      </c>
      <c r="E250" s="314">
        <v>876076</v>
      </c>
      <c r="F250" s="314">
        <v>9487</v>
      </c>
      <c r="G250" s="314">
        <v>866589</v>
      </c>
      <c r="H250" s="314">
        <v>0</v>
      </c>
      <c r="I250" s="314">
        <v>866589</v>
      </c>
      <c r="J250" s="314">
        <v>0</v>
      </c>
    </row>
    <row r="251" spans="1:10">
      <c r="A251" s="314" t="s">
        <v>1441</v>
      </c>
      <c r="B251" s="314" t="s">
        <v>1839</v>
      </c>
      <c r="C251" s="314">
        <v>0</v>
      </c>
      <c r="D251" s="314">
        <v>0</v>
      </c>
      <c r="E251" s="314">
        <v>0</v>
      </c>
      <c r="F251" s="314">
        <v>0</v>
      </c>
      <c r="G251" s="314">
        <v>0</v>
      </c>
      <c r="H251" s="314">
        <v>0</v>
      </c>
      <c r="I251" s="314">
        <v>0</v>
      </c>
      <c r="J251" s="314">
        <v>0</v>
      </c>
    </row>
    <row r="252" spans="1:10">
      <c r="A252" s="314" t="s">
        <v>1442</v>
      </c>
      <c r="B252" s="314" t="s">
        <v>1840</v>
      </c>
      <c r="C252" s="314">
        <v>0</v>
      </c>
      <c r="D252" s="314">
        <v>0</v>
      </c>
      <c r="E252" s="314">
        <v>6695881</v>
      </c>
      <c r="F252" s="314">
        <v>3749938</v>
      </c>
      <c r="G252" s="314">
        <v>2945943</v>
      </c>
      <c r="H252" s="314">
        <v>0</v>
      </c>
      <c r="I252" s="314">
        <v>2945943</v>
      </c>
      <c r="J252" s="314">
        <v>0</v>
      </c>
    </row>
    <row r="253" spans="1:10">
      <c r="A253" s="314" t="s">
        <v>1443</v>
      </c>
      <c r="B253" s="314" t="s">
        <v>1841</v>
      </c>
      <c r="C253" s="314">
        <v>0</v>
      </c>
      <c r="D253" s="314">
        <v>0</v>
      </c>
      <c r="E253" s="314">
        <v>15876</v>
      </c>
      <c r="F253" s="314">
        <v>0</v>
      </c>
      <c r="G253" s="314">
        <v>15876</v>
      </c>
      <c r="H253" s="314">
        <v>0</v>
      </c>
      <c r="I253" s="314">
        <v>15876</v>
      </c>
      <c r="J253" s="314">
        <v>0</v>
      </c>
    </row>
    <row r="254" spans="1:10">
      <c r="A254" s="314" t="s">
        <v>1444</v>
      </c>
      <c r="B254" s="314" t="s">
        <v>1842</v>
      </c>
      <c r="C254" s="314">
        <v>0</v>
      </c>
      <c r="D254" s="314">
        <v>0</v>
      </c>
      <c r="E254" s="314">
        <v>390117</v>
      </c>
      <c r="F254" s="314">
        <v>0</v>
      </c>
      <c r="G254" s="314">
        <v>390117</v>
      </c>
      <c r="H254" s="314">
        <v>0</v>
      </c>
      <c r="I254" s="314">
        <v>390117</v>
      </c>
      <c r="J254" s="314">
        <v>0</v>
      </c>
    </row>
    <row r="255" spans="1:10">
      <c r="A255" s="314" t="s">
        <v>1445</v>
      </c>
      <c r="B255" s="314" t="s">
        <v>1843</v>
      </c>
      <c r="C255" s="314">
        <v>0</v>
      </c>
      <c r="D255" s="314">
        <v>0</v>
      </c>
      <c r="E255" s="314">
        <v>37445</v>
      </c>
      <c r="F255" s="314">
        <v>0</v>
      </c>
      <c r="G255" s="314">
        <v>37445</v>
      </c>
      <c r="H255" s="314">
        <v>0</v>
      </c>
      <c r="I255" s="314">
        <v>37445</v>
      </c>
      <c r="J255" s="314">
        <v>0</v>
      </c>
    </row>
    <row r="256" spans="1:10">
      <c r="A256" s="314" t="s">
        <v>1446</v>
      </c>
      <c r="B256" s="314" t="s">
        <v>1844</v>
      </c>
      <c r="C256" s="314">
        <v>0</v>
      </c>
      <c r="D256" s="314">
        <v>0</v>
      </c>
      <c r="E256" s="314">
        <v>2963354</v>
      </c>
      <c r="F256" s="314">
        <v>124836</v>
      </c>
      <c r="G256" s="314">
        <v>2838518</v>
      </c>
      <c r="H256" s="314">
        <v>0</v>
      </c>
      <c r="I256" s="314">
        <v>2838518</v>
      </c>
      <c r="J256" s="314">
        <v>0</v>
      </c>
    </row>
    <row r="257" spans="1:10">
      <c r="A257" s="314" t="s">
        <v>1447</v>
      </c>
      <c r="B257" s="314" t="s">
        <v>1845</v>
      </c>
      <c r="C257" s="314">
        <v>0</v>
      </c>
      <c r="D257" s="314">
        <v>0</v>
      </c>
      <c r="E257" s="314">
        <v>0</v>
      </c>
      <c r="F257" s="314">
        <v>0</v>
      </c>
      <c r="G257" s="314">
        <v>0</v>
      </c>
      <c r="H257" s="314">
        <v>0</v>
      </c>
      <c r="I257" s="314">
        <v>0</v>
      </c>
      <c r="J257" s="314">
        <v>0</v>
      </c>
    </row>
    <row r="258" spans="1:10">
      <c r="A258" s="314" t="s">
        <v>1448</v>
      </c>
      <c r="B258" s="314" t="s">
        <v>1846</v>
      </c>
      <c r="C258" s="314">
        <v>0</v>
      </c>
      <c r="D258" s="314">
        <v>0</v>
      </c>
      <c r="E258" s="314">
        <v>471191</v>
      </c>
      <c r="F258" s="314">
        <v>93710</v>
      </c>
      <c r="G258" s="314">
        <v>377481</v>
      </c>
      <c r="H258" s="314">
        <v>0</v>
      </c>
      <c r="I258" s="314">
        <v>377481</v>
      </c>
      <c r="J258" s="314">
        <v>0</v>
      </c>
    </row>
    <row r="259" spans="1:10">
      <c r="A259" s="314" t="s">
        <v>1449</v>
      </c>
      <c r="B259" s="314" t="s">
        <v>1847</v>
      </c>
      <c r="C259" s="314">
        <v>0</v>
      </c>
      <c r="D259" s="314">
        <v>0</v>
      </c>
      <c r="E259" s="314">
        <v>0</v>
      </c>
      <c r="F259" s="314">
        <v>0</v>
      </c>
      <c r="G259" s="314">
        <v>0</v>
      </c>
      <c r="H259" s="314">
        <v>0</v>
      </c>
      <c r="I259" s="314">
        <v>0</v>
      </c>
      <c r="J259" s="314">
        <v>0</v>
      </c>
    </row>
    <row r="260" spans="1:10">
      <c r="A260" s="314" t="s">
        <v>1450</v>
      </c>
      <c r="B260" s="314" t="s">
        <v>1848</v>
      </c>
      <c r="C260" s="314">
        <v>0</v>
      </c>
      <c r="D260" s="314">
        <v>0</v>
      </c>
      <c r="E260" s="314">
        <v>1375269</v>
      </c>
      <c r="F260" s="314">
        <v>1375269</v>
      </c>
      <c r="G260" s="314">
        <v>0</v>
      </c>
      <c r="H260" s="314">
        <v>0</v>
      </c>
      <c r="I260" s="314">
        <v>0</v>
      </c>
      <c r="J260" s="314">
        <v>0</v>
      </c>
    </row>
    <row r="261" spans="1:10">
      <c r="A261" s="314" t="s">
        <v>1451</v>
      </c>
      <c r="B261" s="314" t="s">
        <v>1849</v>
      </c>
      <c r="C261" s="314">
        <v>0</v>
      </c>
      <c r="D261" s="314">
        <v>0</v>
      </c>
      <c r="E261" s="314">
        <v>0</v>
      </c>
      <c r="F261" s="314">
        <v>0</v>
      </c>
      <c r="G261" s="314">
        <v>0</v>
      </c>
      <c r="H261" s="314">
        <v>0</v>
      </c>
      <c r="I261" s="314">
        <v>0</v>
      </c>
      <c r="J261" s="314">
        <v>0</v>
      </c>
    </row>
    <row r="262" spans="1:10">
      <c r="A262" s="314" t="s">
        <v>1452</v>
      </c>
      <c r="B262" s="314" t="s">
        <v>1850</v>
      </c>
      <c r="C262" s="314">
        <v>0</v>
      </c>
      <c r="D262" s="314">
        <v>0</v>
      </c>
      <c r="E262" s="314">
        <v>159998</v>
      </c>
      <c r="F262" s="314">
        <v>0</v>
      </c>
      <c r="G262" s="314">
        <v>159998</v>
      </c>
      <c r="H262" s="314">
        <v>0</v>
      </c>
      <c r="I262" s="314">
        <v>159998</v>
      </c>
      <c r="J262" s="314">
        <v>0</v>
      </c>
    </row>
    <row r="263" spans="1:10">
      <c r="A263" s="314" t="s">
        <v>1453</v>
      </c>
      <c r="B263" s="314" t="s">
        <v>1851</v>
      </c>
      <c r="C263" s="314">
        <v>0</v>
      </c>
      <c r="D263" s="314">
        <v>0</v>
      </c>
      <c r="E263" s="314">
        <v>0</v>
      </c>
      <c r="F263" s="314">
        <v>0</v>
      </c>
      <c r="G263" s="314">
        <v>0</v>
      </c>
      <c r="H263" s="314">
        <v>0</v>
      </c>
      <c r="I263" s="314">
        <v>0</v>
      </c>
      <c r="J263" s="314">
        <v>0</v>
      </c>
    </row>
    <row r="264" spans="1:10">
      <c r="A264" s="314" t="s">
        <v>1454</v>
      </c>
      <c r="B264" s="314" t="s">
        <v>1852</v>
      </c>
      <c r="C264" s="314">
        <v>0</v>
      </c>
      <c r="D264" s="314">
        <v>0</v>
      </c>
      <c r="E264" s="314">
        <v>0</v>
      </c>
      <c r="F264" s="314">
        <v>0</v>
      </c>
      <c r="G264" s="314">
        <v>0</v>
      </c>
      <c r="H264" s="314">
        <v>0</v>
      </c>
      <c r="I264" s="314">
        <v>0</v>
      </c>
      <c r="J264" s="314">
        <v>0</v>
      </c>
    </row>
    <row r="265" spans="1:10">
      <c r="A265" s="314" t="s">
        <v>1455</v>
      </c>
      <c r="B265" s="314" t="s">
        <v>1853</v>
      </c>
      <c r="C265" s="314">
        <v>0</v>
      </c>
      <c r="D265" s="314">
        <v>0</v>
      </c>
      <c r="E265" s="314">
        <v>0</v>
      </c>
      <c r="F265" s="314">
        <v>0</v>
      </c>
      <c r="G265" s="314">
        <v>0</v>
      </c>
      <c r="H265" s="314">
        <v>0</v>
      </c>
      <c r="I265" s="314">
        <v>0</v>
      </c>
      <c r="J265" s="314">
        <v>0</v>
      </c>
    </row>
    <row r="266" spans="1:10">
      <c r="A266" s="314" t="s">
        <v>1456</v>
      </c>
      <c r="B266" s="314" t="s">
        <v>1854</v>
      </c>
      <c r="C266" s="314">
        <v>0</v>
      </c>
      <c r="D266" s="314">
        <v>0</v>
      </c>
      <c r="E266" s="314">
        <v>0</v>
      </c>
      <c r="F266" s="314">
        <v>0</v>
      </c>
      <c r="G266" s="314">
        <v>0</v>
      </c>
      <c r="H266" s="314">
        <v>0</v>
      </c>
      <c r="I266" s="314">
        <v>0</v>
      </c>
      <c r="J266" s="314">
        <v>0</v>
      </c>
    </row>
    <row r="267" spans="1:10">
      <c r="A267" s="314" t="s">
        <v>1457</v>
      </c>
      <c r="B267" s="314" t="s">
        <v>1855</v>
      </c>
      <c r="C267" s="314">
        <v>0</v>
      </c>
      <c r="D267" s="314">
        <v>0</v>
      </c>
      <c r="E267" s="314">
        <v>0</v>
      </c>
      <c r="F267" s="314">
        <v>0</v>
      </c>
      <c r="G267" s="314">
        <v>0</v>
      </c>
      <c r="H267" s="314">
        <v>0</v>
      </c>
      <c r="I267" s="314">
        <v>0</v>
      </c>
      <c r="J267" s="314">
        <v>0</v>
      </c>
    </row>
    <row r="268" spans="1:10">
      <c r="A268" s="314" t="s">
        <v>1458</v>
      </c>
      <c r="B268" s="314" t="s">
        <v>1856</v>
      </c>
      <c r="C268" s="314">
        <v>0</v>
      </c>
      <c r="D268" s="314">
        <v>0</v>
      </c>
      <c r="E268" s="314">
        <v>0</v>
      </c>
      <c r="F268" s="314">
        <v>0</v>
      </c>
      <c r="G268" s="314">
        <v>0</v>
      </c>
      <c r="H268" s="314">
        <v>0</v>
      </c>
      <c r="I268" s="314">
        <v>0</v>
      </c>
      <c r="J268" s="314">
        <v>0</v>
      </c>
    </row>
    <row r="269" spans="1:10">
      <c r="A269" s="314" t="s">
        <v>1459</v>
      </c>
      <c r="B269" s="314" t="s">
        <v>1857</v>
      </c>
      <c r="C269" s="314">
        <v>0</v>
      </c>
      <c r="D269" s="314">
        <v>0</v>
      </c>
      <c r="E269" s="314">
        <v>0</v>
      </c>
      <c r="F269" s="314">
        <v>0</v>
      </c>
      <c r="G269" s="314">
        <v>0</v>
      </c>
      <c r="H269" s="314">
        <v>0</v>
      </c>
      <c r="I269" s="314">
        <v>0</v>
      </c>
      <c r="J269" s="314">
        <v>0</v>
      </c>
    </row>
    <row r="270" spans="1:10">
      <c r="A270" s="314" t="s">
        <v>1460</v>
      </c>
      <c r="B270" s="314" t="s">
        <v>1858</v>
      </c>
      <c r="C270" s="314">
        <v>0</v>
      </c>
      <c r="D270" s="314">
        <v>0</v>
      </c>
      <c r="E270" s="314">
        <v>0</v>
      </c>
      <c r="F270" s="314">
        <v>0</v>
      </c>
      <c r="G270" s="314">
        <v>0</v>
      </c>
      <c r="H270" s="314">
        <v>0</v>
      </c>
      <c r="I270" s="314">
        <v>0</v>
      </c>
      <c r="J270" s="314">
        <v>0</v>
      </c>
    </row>
    <row r="271" spans="1:10">
      <c r="A271" s="314" t="s">
        <v>1461</v>
      </c>
      <c r="B271" s="314" t="s">
        <v>1859</v>
      </c>
      <c r="C271" s="314">
        <v>0</v>
      </c>
      <c r="D271" s="314">
        <v>0</v>
      </c>
      <c r="E271" s="314">
        <v>0</v>
      </c>
      <c r="F271" s="314">
        <v>0</v>
      </c>
      <c r="G271" s="314">
        <v>0</v>
      </c>
      <c r="H271" s="314">
        <v>0</v>
      </c>
      <c r="I271" s="314">
        <v>0</v>
      </c>
      <c r="J271" s="314">
        <v>0</v>
      </c>
    </row>
    <row r="272" spans="1:10">
      <c r="A272" s="314" t="s">
        <v>1462</v>
      </c>
      <c r="B272" s="314" t="s">
        <v>1860</v>
      </c>
      <c r="C272" s="314">
        <v>0</v>
      </c>
      <c r="D272" s="314">
        <v>0</v>
      </c>
      <c r="E272" s="314">
        <v>0</v>
      </c>
      <c r="F272" s="314">
        <v>0</v>
      </c>
      <c r="G272" s="314">
        <v>0</v>
      </c>
      <c r="H272" s="314">
        <v>0</v>
      </c>
      <c r="I272" s="314">
        <v>0</v>
      </c>
      <c r="J272" s="314">
        <v>0</v>
      </c>
    </row>
    <row r="273" spans="1:10">
      <c r="A273" s="314" t="s">
        <v>1463</v>
      </c>
      <c r="B273" s="314" t="s">
        <v>1861</v>
      </c>
      <c r="C273" s="314">
        <v>0</v>
      </c>
      <c r="D273" s="314">
        <v>0</v>
      </c>
      <c r="E273" s="314">
        <v>0</v>
      </c>
      <c r="F273" s="314">
        <v>0</v>
      </c>
      <c r="G273" s="314">
        <v>0</v>
      </c>
      <c r="H273" s="314">
        <v>0</v>
      </c>
      <c r="I273" s="314">
        <v>0</v>
      </c>
      <c r="J273" s="314">
        <v>0</v>
      </c>
    </row>
    <row r="274" spans="1:10">
      <c r="A274" s="314" t="s">
        <v>1464</v>
      </c>
      <c r="B274" s="314" t="s">
        <v>1862</v>
      </c>
      <c r="C274" s="314">
        <v>0</v>
      </c>
      <c r="D274" s="314">
        <v>0</v>
      </c>
      <c r="E274" s="314">
        <v>1000</v>
      </c>
      <c r="F274" s="314">
        <v>0</v>
      </c>
      <c r="G274" s="314">
        <v>1000</v>
      </c>
      <c r="H274" s="314">
        <v>0</v>
      </c>
      <c r="I274" s="314">
        <v>1000</v>
      </c>
      <c r="J274" s="314">
        <v>0</v>
      </c>
    </row>
    <row r="275" spans="1:10">
      <c r="A275" s="314" t="s">
        <v>1465</v>
      </c>
      <c r="B275" s="314" t="s">
        <v>1863</v>
      </c>
      <c r="C275" s="314">
        <v>0</v>
      </c>
      <c r="D275" s="314">
        <v>0</v>
      </c>
      <c r="E275" s="314">
        <v>0</v>
      </c>
      <c r="F275" s="314">
        <v>0</v>
      </c>
      <c r="G275" s="314">
        <v>0</v>
      </c>
      <c r="H275" s="314">
        <v>0</v>
      </c>
      <c r="I275" s="314">
        <v>0</v>
      </c>
      <c r="J275" s="314">
        <v>0</v>
      </c>
    </row>
    <row r="276" spans="1:10">
      <c r="A276" s="314" t="s">
        <v>1466</v>
      </c>
      <c r="B276" s="314" t="s">
        <v>1864</v>
      </c>
      <c r="C276" s="314">
        <v>0</v>
      </c>
      <c r="D276" s="314">
        <v>0</v>
      </c>
      <c r="E276" s="314">
        <v>0</v>
      </c>
      <c r="F276" s="314">
        <v>0</v>
      </c>
      <c r="G276" s="314">
        <v>0</v>
      </c>
      <c r="H276" s="314">
        <v>0</v>
      </c>
      <c r="I276" s="314">
        <v>0</v>
      </c>
      <c r="J276" s="314">
        <v>0</v>
      </c>
    </row>
    <row r="277" spans="1:10">
      <c r="A277" s="314" t="s">
        <v>1467</v>
      </c>
      <c r="B277" s="314" t="s">
        <v>1865</v>
      </c>
      <c r="C277" s="314">
        <v>0</v>
      </c>
      <c r="D277" s="314">
        <v>0</v>
      </c>
      <c r="E277" s="314">
        <v>307123</v>
      </c>
      <c r="F277" s="314">
        <v>6</v>
      </c>
      <c r="G277" s="314">
        <v>307117</v>
      </c>
      <c r="H277" s="314">
        <v>0</v>
      </c>
      <c r="I277" s="314">
        <v>307117</v>
      </c>
      <c r="J277" s="314">
        <v>0</v>
      </c>
    </row>
    <row r="278" spans="1:10">
      <c r="A278" s="314" t="s">
        <v>1468</v>
      </c>
      <c r="B278" s="314" t="s">
        <v>1866</v>
      </c>
      <c r="C278" s="314">
        <v>0</v>
      </c>
      <c r="D278" s="314">
        <v>0</v>
      </c>
      <c r="E278" s="314">
        <v>657161</v>
      </c>
      <c r="F278" s="314">
        <v>0</v>
      </c>
      <c r="G278" s="314">
        <v>657161</v>
      </c>
      <c r="H278" s="314">
        <v>0</v>
      </c>
      <c r="I278" s="314">
        <v>657161</v>
      </c>
      <c r="J278" s="314">
        <v>0</v>
      </c>
    </row>
    <row r="279" spans="1:10">
      <c r="A279" s="314" t="s">
        <v>1469</v>
      </c>
      <c r="B279" s="314" t="s">
        <v>1867</v>
      </c>
      <c r="C279" s="314">
        <v>0</v>
      </c>
      <c r="D279" s="314">
        <v>0</v>
      </c>
      <c r="E279" s="314">
        <v>3600</v>
      </c>
      <c r="F279" s="314">
        <v>0</v>
      </c>
      <c r="G279" s="314">
        <v>3600</v>
      </c>
      <c r="H279" s="314">
        <v>0</v>
      </c>
      <c r="I279" s="314">
        <v>3600</v>
      </c>
      <c r="J279" s="314">
        <v>0</v>
      </c>
    </row>
    <row r="280" spans="1:10">
      <c r="A280" s="314" t="s">
        <v>1470</v>
      </c>
      <c r="B280" s="314" t="s">
        <v>1868</v>
      </c>
      <c r="C280" s="314">
        <v>0</v>
      </c>
      <c r="D280" s="314">
        <v>0</v>
      </c>
      <c r="E280" s="314">
        <v>2847995</v>
      </c>
      <c r="F280" s="314">
        <v>2847995</v>
      </c>
      <c r="G280" s="314">
        <v>0</v>
      </c>
      <c r="H280" s="314">
        <v>0</v>
      </c>
      <c r="I280" s="314">
        <v>0</v>
      </c>
      <c r="J280" s="314">
        <v>0</v>
      </c>
    </row>
    <row r="281" spans="1:10">
      <c r="A281" s="314" t="s">
        <v>1471</v>
      </c>
      <c r="B281" s="314" t="s">
        <v>1869</v>
      </c>
      <c r="C281" s="314">
        <v>0</v>
      </c>
      <c r="D281" s="314">
        <v>0</v>
      </c>
      <c r="E281" s="314">
        <v>10501</v>
      </c>
      <c r="F281" s="314">
        <v>10501</v>
      </c>
      <c r="G281" s="314">
        <v>0</v>
      </c>
      <c r="H281" s="314">
        <v>0</v>
      </c>
      <c r="I281" s="314">
        <v>0</v>
      </c>
      <c r="J281" s="314">
        <v>0</v>
      </c>
    </row>
    <row r="282" spans="1:10">
      <c r="A282" s="314" t="s">
        <v>1472</v>
      </c>
      <c r="B282" s="314" t="s">
        <v>1870</v>
      </c>
      <c r="C282" s="314">
        <v>0</v>
      </c>
      <c r="D282" s="314">
        <v>0</v>
      </c>
      <c r="E282" s="314">
        <v>2800</v>
      </c>
      <c r="F282" s="314">
        <v>0</v>
      </c>
      <c r="G282" s="314">
        <v>2800</v>
      </c>
      <c r="H282" s="314">
        <v>0</v>
      </c>
      <c r="I282" s="314">
        <v>2800</v>
      </c>
      <c r="J282" s="314">
        <v>0</v>
      </c>
    </row>
    <row r="283" spans="1:10">
      <c r="A283" s="314" t="s">
        <v>1473</v>
      </c>
      <c r="B283" s="314" t="s">
        <v>1871</v>
      </c>
      <c r="C283" s="314">
        <v>0</v>
      </c>
      <c r="D283" s="314">
        <v>0</v>
      </c>
      <c r="E283" s="314">
        <v>0</v>
      </c>
      <c r="F283" s="314">
        <v>0</v>
      </c>
      <c r="G283" s="314">
        <v>0</v>
      </c>
      <c r="H283" s="314">
        <v>0</v>
      </c>
      <c r="I283" s="314">
        <v>0</v>
      </c>
      <c r="J283" s="314">
        <v>0</v>
      </c>
    </row>
    <row r="284" spans="1:10">
      <c r="A284" s="314" t="s">
        <v>1474</v>
      </c>
      <c r="B284" s="314" t="s">
        <v>1872</v>
      </c>
      <c r="C284" s="314">
        <v>0</v>
      </c>
      <c r="D284" s="314">
        <v>0</v>
      </c>
      <c r="E284" s="314">
        <v>0</v>
      </c>
      <c r="F284" s="314">
        <v>0</v>
      </c>
      <c r="G284" s="314">
        <v>0</v>
      </c>
      <c r="H284" s="314">
        <v>0</v>
      </c>
      <c r="I284" s="314">
        <v>0</v>
      </c>
      <c r="J284" s="314">
        <v>0</v>
      </c>
    </row>
    <row r="285" spans="1:10">
      <c r="A285" s="314" t="s">
        <v>1475</v>
      </c>
      <c r="B285" s="314" t="s">
        <v>1873</v>
      </c>
      <c r="C285" s="314">
        <v>0</v>
      </c>
      <c r="D285" s="314">
        <v>0</v>
      </c>
      <c r="E285" s="314">
        <v>0</v>
      </c>
      <c r="F285" s="314">
        <v>0</v>
      </c>
      <c r="G285" s="314">
        <v>0</v>
      </c>
      <c r="H285" s="314">
        <v>0</v>
      </c>
      <c r="I285" s="314">
        <v>0</v>
      </c>
      <c r="J285" s="314">
        <v>0</v>
      </c>
    </row>
    <row r="286" spans="1:10">
      <c r="A286" s="314" t="s">
        <v>1476</v>
      </c>
      <c r="B286" s="314" t="s">
        <v>1874</v>
      </c>
      <c r="C286" s="314">
        <v>0</v>
      </c>
      <c r="D286" s="314">
        <v>0</v>
      </c>
      <c r="E286" s="314">
        <v>0</v>
      </c>
      <c r="F286" s="314">
        <v>0</v>
      </c>
      <c r="G286" s="314">
        <v>0</v>
      </c>
      <c r="H286" s="314">
        <v>0</v>
      </c>
      <c r="I286" s="314">
        <v>0</v>
      </c>
      <c r="J286" s="314">
        <v>0</v>
      </c>
    </row>
    <row r="287" spans="1:10">
      <c r="A287" s="314" t="s">
        <v>1477</v>
      </c>
      <c r="B287" s="314" t="s">
        <v>1875</v>
      </c>
      <c r="C287" s="314">
        <v>0</v>
      </c>
      <c r="D287" s="314">
        <v>0</v>
      </c>
      <c r="E287" s="314">
        <v>0</v>
      </c>
      <c r="F287" s="314">
        <v>0</v>
      </c>
      <c r="G287" s="314">
        <v>0</v>
      </c>
      <c r="H287" s="314">
        <v>0</v>
      </c>
      <c r="I287" s="314">
        <v>0</v>
      </c>
      <c r="J287" s="314">
        <v>0</v>
      </c>
    </row>
    <row r="288" spans="1:10">
      <c r="A288" s="314" t="s">
        <v>1478</v>
      </c>
      <c r="B288" s="314" t="s">
        <v>1876</v>
      </c>
      <c r="C288" s="314">
        <v>0</v>
      </c>
      <c r="D288" s="314">
        <v>0</v>
      </c>
      <c r="E288" s="314">
        <v>0</v>
      </c>
      <c r="F288" s="314">
        <v>0</v>
      </c>
      <c r="G288" s="314">
        <v>0</v>
      </c>
      <c r="H288" s="314">
        <v>0</v>
      </c>
      <c r="I288" s="314">
        <v>0</v>
      </c>
      <c r="J288" s="314">
        <v>0</v>
      </c>
    </row>
    <row r="289" spans="1:10">
      <c r="A289" s="314" t="s">
        <v>1479</v>
      </c>
      <c r="B289" s="314" t="s">
        <v>1877</v>
      </c>
      <c r="C289" s="314">
        <v>0</v>
      </c>
      <c r="D289" s="314">
        <v>0</v>
      </c>
      <c r="E289" s="314">
        <v>0</v>
      </c>
      <c r="F289" s="314">
        <v>0</v>
      </c>
      <c r="G289" s="314">
        <v>0</v>
      </c>
      <c r="H289" s="314">
        <v>0</v>
      </c>
      <c r="I289" s="314">
        <v>0</v>
      </c>
      <c r="J289" s="314">
        <v>0</v>
      </c>
    </row>
    <row r="290" spans="1:10">
      <c r="A290" s="314" t="s">
        <v>1480</v>
      </c>
      <c r="B290" s="314" t="s">
        <v>1878</v>
      </c>
      <c r="C290" s="314">
        <v>0</v>
      </c>
      <c r="D290" s="314">
        <v>0</v>
      </c>
      <c r="E290" s="314">
        <v>0</v>
      </c>
      <c r="F290" s="314">
        <v>0</v>
      </c>
      <c r="G290" s="314">
        <v>0</v>
      </c>
      <c r="H290" s="314">
        <v>0</v>
      </c>
      <c r="I290" s="314">
        <v>0</v>
      </c>
      <c r="J290" s="314">
        <v>0</v>
      </c>
    </row>
    <row r="291" spans="1:10">
      <c r="A291" s="314" t="s">
        <v>1481</v>
      </c>
      <c r="B291" s="314" t="s">
        <v>1879</v>
      </c>
      <c r="C291" s="314">
        <v>0</v>
      </c>
      <c r="D291" s="314">
        <v>0</v>
      </c>
      <c r="E291" s="314">
        <v>0</v>
      </c>
      <c r="F291" s="314">
        <v>0</v>
      </c>
      <c r="G291" s="314">
        <v>0</v>
      </c>
      <c r="H291" s="314">
        <v>0</v>
      </c>
      <c r="I291" s="314">
        <v>0</v>
      </c>
      <c r="J291" s="314">
        <v>0</v>
      </c>
    </row>
    <row r="292" spans="1:10">
      <c r="A292" s="314" t="s">
        <v>1482</v>
      </c>
      <c r="B292" s="314" t="s">
        <v>1880</v>
      </c>
      <c r="C292" s="314">
        <v>0</v>
      </c>
      <c r="D292" s="314">
        <v>0</v>
      </c>
      <c r="E292" s="314">
        <v>0</v>
      </c>
      <c r="F292" s="314">
        <v>0</v>
      </c>
      <c r="G292" s="314">
        <v>0</v>
      </c>
      <c r="H292" s="314">
        <v>0</v>
      </c>
      <c r="I292" s="314">
        <v>0</v>
      </c>
      <c r="J292" s="314">
        <v>0</v>
      </c>
    </row>
    <row r="293" spans="1:10">
      <c r="A293" s="314" t="s">
        <v>1483</v>
      </c>
      <c r="B293" s="314" t="s">
        <v>1881</v>
      </c>
      <c r="C293" s="314">
        <v>0</v>
      </c>
      <c r="D293" s="314">
        <v>0</v>
      </c>
      <c r="E293" s="314">
        <v>0</v>
      </c>
      <c r="F293" s="314">
        <v>0</v>
      </c>
      <c r="G293" s="314">
        <v>0</v>
      </c>
      <c r="H293" s="314">
        <v>0</v>
      </c>
      <c r="I293" s="314">
        <v>0</v>
      </c>
      <c r="J293" s="314">
        <v>0</v>
      </c>
    </row>
    <row r="294" spans="1:10">
      <c r="A294" s="314" t="s">
        <v>1484</v>
      </c>
      <c r="B294" s="314" t="s">
        <v>1882</v>
      </c>
      <c r="C294" s="314">
        <v>0</v>
      </c>
      <c r="D294" s="314">
        <v>0</v>
      </c>
      <c r="E294" s="314">
        <v>0</v>
      </c>
      <c r="F294" s="314">
        <v>0</v>
      </c>
      <c r="G294" s="314">
        <v>0</v>
      </c>
      <c r="H294" s="314">
        <v>0</v>
      </c>
      <c r="I294" s="314">
        <v>0</v>
      </c>
      <c r="J294" s="314">
        <v>0</v>
      </c>
    </row>
    <row r="295" spans="1:10">
      <c r="A295" s="314" t="s">
        <v>1485</v>
      </c>
      <c r="B295" s="314" t="s">
        <v>1883</v>
      </c>
      <c r="C295" s="314">
        <v>0</v>
      </c>
      <c r="D295" s="314">
        <v>0</v>
      </c>
      <c r="E295" s="314">
        <v>0</v>
      </c>
      <c r="F295" s="314">
        <v>0</v>
      </c>
      <c r="G295" s="314">
        <v>0</v>
      </c>
      <c r="H295" s="314">
        <v>0</v>
      </c>
      <c r="I295" s="314">
        <v>0</v>
      </c>
      <c r="J295" s="314">
        <v>0</v>
      </c>
    </row>
    <row r="296" spans="1:10">
      <c r="A296" s="314" t="s">
        <v>1486</v>
      </c>
      <c r="B296" s="314" t="s">
        <v>1884</v>
      </c>
      <c r="C296" s="314">
        <v>0</v>
      </c>
      <c r="D296" s="314">
        <v>0</v>
      </c>
      <c r="E296" s="314">
        <v>0</v>
      </c>
      <c r="F296" s="314">
        <v>0</v>
      </c>
      <c r="G296" s="314">
        <v>0</v>
      </c>
      <c r="H296" s="314">
        <v>0</v>
      </c>
      <c r="I296" s="314">
        <v>0</v>
      </c>
      <c r="J296" s="314">
        <v>0</v>
      </c>
    </row>
    <row r="297" spans="1:10">
      <c r="A297" s="314" t="s">
        <v>1487</v>
      </c>
      <c r="B297" s="314" t="s">
        <v>1885</v>
      </c>
      <c r="C297" s="314">
        <v>0</v>
      </c>
      <c r="D297" s="314">
        <v>0</v>
      </c>
      <c r="E297" s="314">
        <v>0</v>
      </c>
      <c r="F297" s="314">
        <v>0</v>
      </c>
      <c r="G297" s="314">
        <v>0</v>
      </c>
      <c r="H297" s="314">
        <v>0</v>
      </c>
      <c r="I297" s="314">
        <v>0</v>
      </c>
      <c r="J297" s="314">
        <v>0</v>
      </c>
    </row>
    <row r="298" spans="1:10">
      <c r="A298" s="314" t="s">
        <v>1488</v>
      </c>
      <c r="B298" s="314" t="s">
        <v>1886</v>
      </c>
      <c r="C298" s="314">
        <v>0</v>
      </c>
      <c r="D298" s="314">
        <v>0</v>
      </c>
      <c r="E298" s="314">
        <v>0</v>
      </c>
      <c r="F298" s="314">
        <v>0</v>
      </c>
      <c r="G298" s="314">
        <v>0</v>
      </c>
      <c r="H298" s="314">
        <v>0</v>
      </c>
      <c r="I298" s="314">
        <v>0</v>
      </c>
      <c r="J298" s="314">
        <v>0</v>
      </c>
    </row>
    <row r="299" spans="1:10">
      <c r="A299" s="314" t="s">
        <v>1489</v>
      </c>
      <c r="B299" s="314" t="s">
        <v>1887</v>
      </c>
      <c r="C299" s="314">
        <v>0</v>
      </c>
      <c r="D299" s="314">
        <v>0</v>
      </c>
      <c r="E299" s="314">
        <v>0</v>
      </c>
      <c r="F299" s="314">
        <v>0</v>
      </c>
      <c r="G299" s="314">
        <v>0</v>
      </c>
      <c r="H299" s="314">
        <v>0</v>
      </c>
      <c r="I299" s="314">
        <v>0</v>
      </c>
      <c r="J299" s="314">
        <v>0</v>
      </c>
    </row>
    <row r="300" spans="1:10">
      <c r="A300" s="314" t="s">
        <v>1490</v>
      </c>
      <c r="B300" s="314" t="s">
        <v>1888</v>
      </c>
      <c r="C300" s="314">
        <v>0</v>
      </c>
      <c r="D300" s="314">
        <v>0</v>
      </c>
      <c r="E300" s="314">
        <v>0</v>
      </c>
      <c r="F300" s="314">
        <v>0</v>
      </c>
      <c r="G300" s="314">
        <v>0</v>
      </c>
      <c r="H300" s="314">
        <v>0</v>
      </c>
      <c r="I300" s="314">
        <v>0</v>
      </c>
      <c r="J300" s="314">
        <v>0</v>
      </c>
    </row>
    <row r="301" spans="1:10">
      <c r="A301" s="314" t="s">
        <v>1491</v>
      </c>
      <c r="B301" s="314" t="s">
        <v>1889</v>
      </c>
      <c r="C301" s="314">
        <v>0</v>
      </c>
      <c r="D301" s="314">
        <v>0</v>
      </c>
      <c r="E301" s="314">
        <v>0</v>
      </c>
      <c r="F301" s="314">
        <v>0</v>
      </c>
      <c r="G301" s="314">
        <v>0</v>
      </c>
      <c r="H301" s="314">
        <v>0</v>
      </c>
      <c r="I301" s="314">
        <v>0</v>
      </c>
      <c r="J301" s="314">
        <v>0</v>
      </c>
    </row>
    <row r="302" spans="1:10">
      <c r="A302" s="314" t="s">
        <v>1492</v>
      </c>
      <c r="B302" s="314" t="s">
        <v>200</v>
      </c>
      <c r="C302" s="314">
        <v>0</v>
      </c>
      <c r="D302" s="314">
        <v>0</v>
      </c>
      <c r="E302" s="314">
        <v>0</v>
      </c>
      <c r="F302" s="314">
        <v>0</v>
      </c>
      <c r="G302" s="314">
        <v>0</v>
      </c>
      <c r="H302" s="314">
        <v>0</v>
      </c>
      <c r="I302" s="314">
        <v>0</v>
      </c>
      <c r="J302" s="314">
        <v>0</v>
      </c>
    </row>
    <row r="303" spans="1:10">
      <c r="A303" s="314" t="s">
        <v>1493</v>
      </c>
      <c r="B303" s="314" t="s">
        <v>1589</v>
      </c>
      <c r="C303" s="314">
        <v>0</v>
      </c>
      <c r="D303" s="314">
        <v>0</v>
      </c>
      <c r="E303" s="314">
        <v>0</v>
      </c>
      <c r="F303" s="314">
        <v>0</v>
      </c>
      <c r="G303" s="314">
        <v>0</v>
      </c>
      <c r="H303" s="314">
        <v>0</v>
      </c>
      <c r="I303" s="314">
        <v>0</v>
      </c>
      <c r="J303" s="314">
        <v>0</v>
      </c>
    </row>
    <row r="304" spans="1:10">
      <c r="A304" s="314" t="s">
        <v>1494</v>
      </c>
      <c r="B304" s="314" t="s">
        <v>1890</v>
      </c>
      <c r="C304" s="314">
        <v>0</v>
      </c>
      <c r="D304" s="314">
        <v>0</v>
      </c>
      <c r="E304" s="314">
        <v>9433503</v>
      </c>
      <c r="F304" s="314">
        <v>15</v>
      </c>
      <c r="G304" s="314">
        <v>9433488</v>
      </c>
      <c r="H304" s="314">
        <v>0</v>
      </c>
      <c r="I304" s="314">
        <v>9433488</v>
      </c>
      <c r="J304" s="314">
        <v>0</v>
      </c>
    </row>
    <row r="305" spans="1:10">
      <c r="A305" s="314" t="s">
        <v>1495</v>
      </c>
      <c r="B305" s="314" t="s">
        <v>1891</v>
      </c>
      <c r="C305" s="314">
        <v>0</v>
      </c>
      <c r="D305" s="314">
        <v>0</v>
      </c>
      <c r="E305" s="314">
        <v>676758</v>
      </c>
      <c r="F305" s="314">
        <v>0</v>
      </c>
      <c r="G305" s="314">
        <v>676758</v>
      </c>
      <c r="H305" s="314">
        <v>0</v>
      </c>
      <c r="I305" s="314">
        <v>676758</v>
      </c>
      <c r="J305" s="314">
        <v>0</v>
      </c>
    </row>
    <row r="306" spans="1:10">
      <c r="A306" s="314" t="s">
        <v>1496</v>
      </c>
      <c r="B306" s="314" t="s">
        <v>1892</v>
      </c>
      <c r="C306" s="314">
        <v>0</v>
      </c>
      <c r="D306" s="314">
        <v>0</v>
      </c>
      <c r="E306" s="314">
        <v>1311571</v>
      </c>
      <c r="F306" s="314">
        <v>0</v>
      </c>
      <c r="G306" s="314">
        <v>1311571</v>
      </c>
      <c r="H306" s="314">
        <v>0</v>
      </c>
      <c r="I306" s="314">
        <v>1311571</v>
      </c>
      <c r="J306" s="314">
        <v>0</v>
      </c>
    </row>
    <row r="307" spans="1:10">
      <c r="A307" s="314" t="s">
        <v>1497</v>
      </c>
      <c r="B307" s="314" t="s">
        <v>1893</v>
      </c>
      <c r="C307" s="314">
        <v>0</v>
      </c>
      <c r="D307" s="314">
        <v>0</v>
      </c>
      <c r="E307" s="314">
        <v>69020</v>
      </c>
      <c r="F307" s="314">
        <v>0</v>
      </c>
      <c r="G307" s="314">
        <v>69020</v>
      </c>
      <c r="H307" s="314">
        <v>0</v>
      </c>
      <c r="I307" s="314">
        <v>69020</v>
      </c>
      <c r="J307" s="314">
        <v>0</v>
      </c>
    </row>
    <row r="308" spans="1:10">
      <c r="A308" s="314" t="s">
        <v>1498</v>
      </c>
      <c r="B308" s="314" t="s">
        <v>1894</v>
      </c>
      <c r="C308" s="314">
        <v>0</v>
      </c>
      <c r="D308" s="314">
        <v>0</v>
      </c>
      <c r="E308" s="314">
        <v>37989</v>
      </c>
      <c r="F308" s="314">
        <v>0</v>
      </c>
      <c r="G308" s="314">
        <v>37989</v>
      </c>
      <c r="H308" s="314">
        <v>0</v>
      </c>
      <c r="I308" s="314">
        <v>37989</v>
      </c>
      <c r="J308" s="314">
        <v>0</v>
      </c>
    </row>
    <row r="309" spans="1:10">
      <c r="A309" s="314" t="s">
        <v>1499</v>
      </c>
      <c r="B309" s="314" t="s">
        <v>1895</v>
      </c>
      <c r="C309" s="314">
        <v>0</v>
      </c>
      <c r="D309" s="314">
        <v>0</v>
      </c>
      <c r="E309" s="314">
        <v>1568067</v>
      </c>
      <c r="F309" s="314">
        <v>40720</v>
      </c>
      <c r="G309" s="314">
        <v>1527347</v>
      </c>
      <c r="H309" s="314">
        <v>0</v>
      </c>
      <c r="I309" s="314">
        <v>1527347</v>
      </c>
      <c r="J309" s="314">
        <v>0</v>
      </c>
    </row>
    <row r="310" spans="1:10">
      <c r="A310" s="314" t="s">
        <v>1500</v>
      </c>
      <c r="B310" s="314" t="s">
        <v>1896</v>
      </c>
      <c r="C310" s="314">
        <v>0</v>
      </c>
      <c r="D310" s="314">
        <v>0</v>
      </c>
      <c r="E310" s="314">
        <v>218051</v>
      </c>
      <c r="F310" s="314">
        <v>407</v>
      </c>
      <c r="G310" s="314">
        <v>217644</v>
      </c>
      <c r="H310" s="314">
        <v>0</v>
      </c>
      <c r="I310" s="314">
        <v>217644</v>
      </c>
      <c r="J310" s="314">
        <v>0</v>
      </c>
    </row>
    <row r="311" spans="1:10">
      <c r="A311" s="314" t="s">
        <v>1501</v>
      </c>
      <c r="B311" s="314" t="s">
        <v>1897</v>
      </c>
      <c r="C311" s="314">
        <v>0</v>
      </c>
      <c r="D311" s="314">
        <v>0</v>
      </c>
      <c r="E311" s="314">
        <v>568710</v>
      </c>
      <c r="F311" s="314">
        <v>0</v>
      </c>
      <c r="G311" s="314">
        <v>568710</v>
      </c>
      <c r="H311" s="314">
        <v>0</v>
      </c>
      <c r="I311" s="314">
        <v>568710</v>
      </c>
      <c r="J311" s="314">
        <v>0</v>
      </c>
    </row>
    <row r="312" spans="1:10">
      <c r="A312" s="314" t="s">
        <v>1502</v>
      </c>
      <c r="B312" s="314" t="s">
        <v>1898</v>
      </c>
      <c r="C312" s="314">
        <v>0</v>
      </c>
      <c r="D312" s="314">
        <v>0</v>
      </c>
      <c r="E312" s="314">
        <v>64257</v>
      </c>
      <c r="F312" s="314">
        <v>0</v>
      </c>
      <c r="G312" s="314">
        <v>64257</v>
      </c>
      <c r="H312" s="314">
        <v>0</v>
      </c>
      <c r="I312" s="314">
        <v>64257</v>
      </c>
      <c r="J312" s="314">
        <v>0</v>
      </c>
    </row>
    <row r="313" spans="1:10">
      <c r="A313" s="314" t="s">
        <v>1503</v>
      </c>
      <c r="B313" s="314" t="s">
        <v>1899</v>
      </c>
      <c r="C313" s="314">
        <v>0</v>
      </c>
      <c r="D313" s="314">
        <v>0</v>
      </c>
      <c r="E313" s="314">
        <v>0</v>
      </c>
      <c r="F313" s="314">
        <v>0</v>
      </c>
      <c r="G313" s="314">
        <v>0</v>
      </c>
      <c r="H313" s="314">
        <v>0</v>
      </c>
      <c r="I313" s="314">
        <v>0</v>
      </c>
      <c r="J313" s="314">
        <v>0</v>
      </c>
    </row>
    <row r="314" spans="1:10">
      <c r="A314" s="314" t="s">
        <v>1504</v>
      </c>
      <c r="B314" s="314" t="s">
        <v>1900</v>
      </c>
      <c r="C314" s="314">
        <v>0</v>
      </c>
      <c r="D314" s="314">
        <v>0</v>
      </c>
      <c r="E314" s="314">
        <v>1293583</v>
      </c>
      <c r="F314" s="314">
        <v>188245</v>
      </c>
      <c r="G314" s="314">
        <v>1105338</v>
      </c>
      <c r="H314" s="314">
        <v>0</v>
      </c>
      <c r="I314" s="314">
        <v>1105338</v>
      </c>
      <c r="J314" s="314">
        <v>0</v>
      </c>
    </row>
    <row r="315" spans="1:10">
      <c r="A315" s="314" t="s">
        <v>1505</v>
      </c>
      <c r="B315" s="314" t="s">
        <v>1901</v>
      </c>
      <c r="C315" s="314">
        <v>0</v>
      </c>
      <c r="D315" s="314">
        <v>0</v>
      </c>
      <c r="E315" s="314">
        <v>0</v>
      </c>
      <c r="F315" s="314">
        <v>0</v>
      </c>
      <c r="G315" s="314">
        <v>0</v>
      </c>
      <c r="H315" s="314">
        <v>0</v>
      </c>
      <c r="I315" s="314">
        <v>0</v>
      </c>
      <c r="J315" s="314">
        <v>0</v>
      </c>
    </row>
    <row r="316" spans="1:10">
      <c r="A316" s="314" t="s">
        <v>1506</v>
      </c>
      <c r="B316" s="314" t="s">
        <v>1902</v>
      </c>
      <c r="C316" s="314">
        <v>0</v>
      </c>
      <c r="D316" s="314">
        <v>0</v>
      </c>
      <c r="E316" s="314">
        <v>25057</v>
      </c>
      <c r="F316" s="314">
        <v>0</v>
      </c>
      <c r="G316" s="314">
        <v>25057</v>
      </c>
      <c r="H316" s="314">
        <v>0</v>
      </c>
      <c r="I316" s="314">
        <v>25057</v>
      </c>
      <c r="J316" s="314">
        <v>0</v>
      </c>
    </row>
    <row r="317" spans="1:10">
      <c r="A317" s="314" t="s">
        <v>1507</v>
      </c>
      <c r="B317" s="314" t="s">
        <v>1903</v>
      </c>
      <c r="C317" s="314">
        <v>0</v>
      </c>
      <c r="D317" s="314">
        <v>0</v>
      </c>
      <c r="E317" s="314">
        <v>0</v>
      </c>
      <c r="F317" s="314">
        <v>0</v>
      </c>
      <c r="G317" s="314">
        <v>0</v>
      </c>
      <c r="H317" s="314">
        <v>0</v>
      </c>
      <c r="I317" s="314">
        <v>0</v>
      </c>
      <c r="J317" s="314">
        <v>0</v>
      </c>
    </row>
    <row r="318" spans="1:10">
      <c r="A318" s="314" t="s">
        <v>1508</v>
      </c>
      <c r="B318" s="314" t="s">
        <v>1904</v>
      </c>
      <c r="C318" s="314">
        <v>0</v>
      </c>
      <c r="D318" s="314">
        <v>0</v>
      </c>
      <c r="E318" s="314">
        <v>43679</v>
      </c>
      <c r="F318" s="314">
        <v>0</v>
      </c>
      <c r="G318" s="314">
        <v>43679</v>
      </c>
      <c r="H318" s="314">
        <v>0</v>
      </c>
      <c r="I318" s="314">
        <v>43679</v>
      </c>
      <c r="J318" s="314">
        <v>0</v>
      </c>
    </row>
    <row r="319" spans="1:10">
      <c r="A319" s="314" t="s">
        <v>1509</v>
      </c>
      <c r="B319" s="314" t="s">
        <v>1905</v>
      </c>
      <c r="C319" s="314">
        <v>0</v>
      </c>
      <c r="D319" s="314">
        <v>0</v>
      </c>
      <c r="E319" s="314">
        <v>0</v>
      </c>
      <c r="F319" s="314">
        <v>0</v>
      </c>
      <c r="G319" s="314">
        <v>0</v>
      </c>
      <c r="H319" s="314">
        <v>0</v>
      </c>
      <c r="I319" s="314">
        <v>0</v>
      </c>
      <c r="J319" s="314">
        <v>0</v>
      </c>
    </row>
    <row r="320" spans="1:10">
      <c r="A320" s="314" t="s">
        <v>1510</v>
      </c>
      <c r="B320" s="314" t="s">
        <v>1906</v>
      </c>
      <c r="C320" s="314">
        <v>0</v>
      </c>
      <c r="D320" s="314">
        <v>0</v>
      </c>
      <c r="E320" s="314">
        <v>1977920</v>
      </c>
      <c r="F320" s="314">
        <v>1075269</v>
      </c>
      <c r="G320" s="314">
        <v>902651</v>
      </c>
      <c r="H320" s="314">
        <v>0</v>
      </c>
      <c r="I320" s="314">
        <v>902651</v>
      </c>
      <c r="J320" s="314">
        <v>0</v>
      </c>
    </row>
    <row r="321" spans="1:10">
      <c r="A321" s="314" t="s">
        <v>1511</v>
      </c>
      <c r="B321" s="314" t="s">
        <v>1907</v>
      </c>
      <c r="C321" s="314">
        <v>0</v>
      </c>
      <c r="D321" s="314">
        <v>0</v>
      </c>
      <c r="E321" s="314">
        <v>116823</v>
      </c>
      <c r="F321" s="314">
        <v>81592</v>
      </c>
      <c r="G321" s="314">
        <v>35231</v>
      </c>
      <c r="H321" s="314">
        <v>0</v>
      </c>
      <c r="I321" s="314">
        <v>35231</v>
      </c>
      <c r="J321" s="314">
        <v>0</v>
      </c>
    </row>
    <row r="322" spans="1:10">
      <c r="A322" s="314" t="s">
        <v>1512</v>
      </c>
      <c r="B322" s="314" t="s">
        <v>1908</v>
      </c>
      <c r="C322" s="314">
        <v>0</v>
      </c>
      <c r="D322" s="314">
        <v>0</v>
      </c>
      <c r="E322" s="314">
        <v>0</v>
      </c>
      <c r="F322" s="314">
        <v>0</v>
      </c>
      <c r="G322" s="314">
        <v>0</v>
      </c>
      <c r="H322" s="314">
        <v>0</v>
      </c>
      <c r="I322" s="314">
        <v>0</v>
      </c>
      <c r="J322" s="314">
        <v>0</v>
      </c>
    </row>
    <row r="323" spans="1:10">
      <c r="A323" s="314" t="s">
        <v>1513</v>
      </c>
      <c r="B323" s="314" t="s">
        <v>1909</v>
      </c>
      <c r="C323" s="314">
        <v>0</v>
      </c>
      <c r="D323" s="314">
        <v>0</v>
      </c>
      <c r="E323" s="314">
        <v>150774</v>
      </c>
      <c r="F323" s="314">
        <v>1330</v>
      </c>
      <c r="G323" s="314">
        <v>149444</v>
      </c>
      <c r="H323" s="314">
        <v>0</v>
      </c>
      <c r="I323" s="314">
        <v>149444</v>
      </c>
      <c r="J323" s="314">
        <v>0</v>
      </c>
    </row>
    <row r="324" spans="1:10">
      <c r="A324" s="314" t="s">
        <v>1514</v>
      </c>
      <c r="B324" s="314" t="s">
        <v>1910</v>
      </c>
      <c r="C324" s="314">
        <v>0</v>
      </c>
      <c r="D324" s="314">
        <v>0</v>
      </c>
      <c r="E324" s="314">
        <v>81070</v>
      </c>
      <c r="F324" s="314">
        <v>38486</v>
      </c>
      <c r="G324" s="314">
        <v>42584</v>
      </c>
      <c r="H324" s="314">
        <v>0</v>
      </c>
      <c r="I324" s="314">
        <v>42584</v>
      </c>
      <c r="J324" s="314">
        <v>0</v>
      </c>
    </row>
    <row r="325" spans="1:10">
      <c r="A325" s="314" t="s">
        <v>1515</v>
      </c>
      <c r="B325" s="314" t="s">
        <v>203</v>
      </c>
      <c r="C325" s="314">
        <v>0</v>
      </c>
      <c r="D325" s="314">
        <v>0</v>
      </c>
      <c r="E325" s="314">
        <v>0</v>
      </c>
      <c r="F325" s="314">
        <v>0</v>
      </c>
      <c r="G325" s="314">
        <v>0</v>
      </c>
      <c r="H325" s="314">
        <v>0</v>
      </c>
      <c r="I325" s="314">
        <v>0</v>
      </c>
      <c r="J325" s="314">
        <v>0</v>
      </c>
    </row>
    <row r="326" spans="1:10">
      <c r="A326" s="314" t="s">
        <v>1516</v>
      </c>
      <c r="B326" s="314" t="s">
        <v>1911</v>
      </c>
      <c r="C326" s="314">
        <v>0</v>
      </c>
      <c r="D326" s="314">
        <v>0</v>
      </c>
      <c r="E326" s="314">
        <v>0</v>
      </c>
      <c r="F326" s="314">
        <v>0</v>
      </c>
      <c r="G326" s="314">
        <v>0</v>
      </c>
      <c r="H326" s="314">
        <v>0</v>
      </c>
      <c r="I326" s="314">
        <v>0</v>
      </c>
      <c r="J326" s="314">
        <v>0</v>
      </c>
    </row>
    <row r="327" spans="1:10">
      <c r="A327" s="314" t="s">
        <v>1517</v>
      </c>
      <c r="B327" s="314" t="s">
        <v>1912</v>
      </c>
      <c r="C327" s="314">
        <v>0</v>
      </c>
      <c r="D327" s="314">
        <v>0</v>
      </c>
      <c r="E327" s="314">
        <v>0</v>
      </c>
      <c r="F327" s="314">
        <v>0</v>
      </c>
      <c r="G327" s="314">
        <v>0</v>
      </c>
      <c r="H327" s="314">
        <v>0</v>
      </c>
      <c r="I327" s="314">
        <v>0</v>
      </c>
      <c r="J327" s="314">
        <v>0</v>
      </c>
    </row>
    <row r="328" spans="1:10">
      <c r="A328" s="314" t="s">
        <v>1518</v>
      </c>
      <c r="B328" s="314" t="s">
        <v>1913</v>
      </c>
      <c r="C328" s="314">
        <v>0</v>
      </c>
      <c r="D328" s="314">
        <v>0</v>
      </c>
      <c r="E328" s="314">
        <v>0</v>
      </c>
      <c r="F328" s="314">
        <v>0</v>
      </c>
      <c r="G328" s="314">
        <v>0</v>
      </c>
      <c r="H328" s="314">
        <v>0</v>
      </c>
      <c r="I328" s="314">
        <v>0</v>
      </c>
      <c r="J328" s="314">
        <v>0</v>
      </c>
    </row>
    <row r="329" spans="1:10">
      <c r="A329" s="314" t="s">
        <v>1519</v>
      </c>
      <c r="B329" s="314" t="s">
        <v>1914</v>
      </c>
      <c r="C329" s="314">
        <v>0</v>
      </c>
      <c r="D329" s="314">
        <v>0</v>
      </c>
      <c r="E329" s="314">
        <v>0</v>
      </c>
      <c r="F329" s="314">
        <v>0</v>
      </c>
      <c r="G329" s="314">
        <v>0</v>
      </c>
      <c r="H329" s="314">
        <v>0</v>
      </c>
      <c r="I329" s="314">
        <v>0</v>
      </c>
      <c r="J329" s="314">
        <v>0</v>
      </c>
    </row>
    <row r="330" spans="1:10">
      <c r="A330" s="314" t="s">
        <v>1520</v>
      </c>
      <c r="B330" s="314" t="s">
        <v>1915</v>
      </c>
      <c r="C330" s="314">
        <v>0</v>
      </c>
      <c r="D330" s="314">
        <v>0</v>
      </c>
      <c r="E330" s="314">
        <v>0</v>
      </c>
      <c r="F330" s="314">
        <v>0</v>
      </c>
      <c r="G330" s="314">
        <v>0</v>
      </c>
      <c r="H330" s="314">
        <v>0</v>
      </c>
      <c r="I330" s="314">
        <v>0</v>
      </c>
      <c r="J330" s="314">
        <v>0</v>
      </c>
    </row>
    <row r="331" spans="1:10">
      <c r="A331" s="314" t="s">
        <v>1521</v>
      </c>
      <c r="B331" s="314" t="s">
        <v>1916</v>
      </c>
      <c r="C331" s="314">
        <v>0</v>
      </c>
      <c r="D331" s="314">
        <v>0</v>
      </c>
      <c r="E331" s="314">
        <v>0</v>
      </c>
      <c r="F331" s="314">
        <v>0</v>
      </c>
      <c r="G331" s="314">
        <v>0</v>
      </c>
      <c r="H331" s="314">
        <v>0</v>
      </c>
      <c r="I331" s="314">
        <v>0</v>
      </c>
      <c r="J331" s="314">
        <v>0</v>
      </c>
    </row>
    <row r="332" spans="1:10">
      <c r="A332" s="314" t="s">
        <v>1522</v>
      </c>
      <c r="B332" s="314" t="s">
        <v>1917</v>
      </c>
      <c r="C332" s="314">
        <v>0</v>
      </c>
      <c r="D332" s="314">
        <v>0</v>
      </c>
      <c r="E332" s="314">
        <v>0</v>
      </c>
      <c r="F332" s="314">
        <v>0</v>
      </c>
      <c r="G332" s="314">
        <v>0</v>
      </c>
      <c r="H332" s="314">
        <v>0</v>
      </c>
      <c r="I332" s="314">
        <v>0</v>
      </c>
      <c r="J332" s="314">
        <v>0</v>
      </c>
    </row>
    <row r="333" spans="1:10">
      <c r="A333" s="314" t="s">
        <v>1523</v>
      </c>
      <c r="B333" s="314" t="s">
        <v>1918</v>
      </c>
      <c r="C333" s="314">
        <v>0</v>
      </c>
      <c r="D333" s="314">
        <v>0</v>
      </c>
      <c r="E333" s="314">
        <v>0</v>
      </c>
      <c r="F333" s="314">
        <v>0</v>
      </c>
      <c r="G333" s="314">
        <v>0</v>
      </c>
      <c r="H333" s="314">
        <v>0</v>
      </c>
      <c r="I333" s="314">
        <v>0</v>
      </c>
      <c r="J333" s="314">
        <v>0</v>
      </c>
    </row>
    <row r="334" spans="1:10">
      <c r="A334" s="314" t="s">
        <v>1524</v>
      </c>
      <c r="B334" s="314" t="s">
        <v>1919</v>
      </c>
      <c r="C334" s="314">
        <v>0</v>
      </c>
      <c r="D334" s="314">
        <v>0</v>
      </c>
      <c r="E334" s="314">
        <v>0</v>
      </c>
      <c r="F334" s="314">
        <v>0</v>
      </c>
      <c r="G334" s="314">
        <v>0</v>
      </c>
      <c r="H334" s="314">
        <v>0</v>
      </c>
      <c r="I334" s="314">
        <v>0</v>
      </c>
      <c r="J334" s="314">
        <v>0</v>
      </c>
    </row>
    <row r="335" spans="1:10">
      <c r="A335" s="314" t="s">
        <v>1525</v>
      </c>
      <c r="B335" s="314" t="s">
        <v>1920</v>
      </c>
      <c r="C335" s="314">
        <v>0</v>
      </c>
      <c r="D335" s="314">
        <v>0</v>
      </c>
      <c r="E335" s="314">
        <v>0</v>
      </c>
      <c r="F335" s="314">
        <v>0</v>
      </c>
      <c r="G335" s="314">
        <v>0</v>
      </c>
      <c r="H335" s="314">
        <v>0</v>
      </c>
      <c r="I335" s="314">
        <v>0</v>
      </c>
      <c r="J335" s="314">
        <v>0</v>
      </c>
    </row>
    <row r="336" spans="1:10">
      <c r="A336" s="314" t="s">
        <v>1526</v>
      </c>
      <c r="B336" s="314" t="s">
        <v>1921</v>
      </c>
      <c r="C336" s="314">
        <v>0</v>
      </c>
      <c r="D336" s="314">
        <v>0</v>
      </c>
      <c r="E336" s="314">
        <v>0</v>
      </c>
      <c r="F336" s="314">
        <v>0</v>
      </c>
      <c r="G336" s="314">
        <v>0</v>
      </c>
      <c r="H336" s="314">
        <v>0</v>
      </c>
      <c r="I336" s="314">
        <v>0</v>
      </c>
      <c r="J336" s="314">
        <v>0</v>
      </c>
    </row>
    <row r="337" spans="1:10">
      <c r="A337" s="314" t="s">
        <v>1527</v>
      </c>
      <c r="B337" s="314" t="s">
        <v>1922</v>
      </c>
      <c r="C337" s="314">
        <v>0</v>
      </c>
      <c r="D337" s="314">
        <v>0</v>
      </c>
      <c r="E337" s="314">
        <v>0</v>
      </c>
      <c r="F337" s="314">
        <v>0</v>
      </c>
      <c r="G337" s="314">
        <v>0</v>
      </c>
      <c r="H337" s="314">
        <v>0</v>
      </c>
      <c r="I337" s="314">
        <v>0</v>
      </c>
      <c r="J337" s="314">
        <v>0</v>
      </c>
    </row>
    <row r="338" spans="1:10">
      <c r="A338" s="314" t="s">
        <v>1528</v>
      </c>
      <c r="B338" s="314" t="s">
        <v>1923</v>
      </c>
      <c r="C338" s="314">
        <v>0</v>
      </c>
      <c r="D338" s="314">
        <v>0</v>
      </c>
      <c r="E338" s="314">
        <v>0</v>
      </c>
      <c r="F338" s="314">
        <v>0</v>
      </c>
      <c r="G338" s="314">
        <v>0</v>
      </c>
      <c r="H338" s="314">
        <v>0</v>
      </c>
      <c r="I338" s="314">
        <v>0</v>
      </c>
      <c r="J338" s="314">
        <v>0</v>
      </c>
    </row>
    <row r="339" spans="1:10">
      <c r="A339" s="314" t="s">
        <v>1529</v>
      </c>
      <c r="B339" s="314" t="s">
        <v>1924</v>
      </c>
      <c r="C339" s="314">
        <v>0</v>
      </c>
      <c r="D339" s="314">
        <v>0</v>
      </c>
      <c r="E339" s="314">
        <v>0</v>
      </c>
      <c r="F339" s="314">
        <v>0</v>
      </c>
      <c r="G339" s="314">
        <v>0</v>
      </c>
      <c r="H339" s="314">
        <v>0</v>
      </c>
      <c r="I339" s="314">
        <v>0</v>
      </c>
      <c r="J339" s="314">
        <v>0</v>
      </c>
    </row>
    <row r="340" spans="1:10">
      <c r="A340" s="314" t="s">
        <v>1530</v>
      </c>
      <c r="B340" s="314" t="s">
        <v>1925</v>
      </c>
      <c r="C340" s="314">
        <v>0</v>
      </c>
      <c r="D340" s="314">
        <v>0</v>
      </c>
      <c r="E340" s="314">
        <v>0</v>
      </c>
      <c r="F340" s="314">
        <v>0</v>
      </c>
      <c r="G340" s="314">
        <v>0</v>
      </c>
      <c r="H340" s="314">
        <v>0</v>
      </c>
      <c r="I340" s="314">
        <v>0</v>
      </c>
      <c r="J340" s="314">
        <v>0</v>
      </c>
    </row>
    <row r="341" spans="1:10">
      <c r="A341" s="314" t="s">
        <v>1531</v>
      </c>
      <c r="B341" s="314" t="s">
        <v>1926</v>
      </c>
      <c r="C341" s="314">
        <v>0</v>
      </c>
      <c r="D341" s="314">
        <v>0</v>
      </c>
      <c r="E341" s="314">
        <v>0</v>
      </c>
      <c r="F341" s="314">
        <v>0</v>
      </c>
      <c r="G341" s="314">
        <v>0</v>
      </c>
      <c r="H341" s="314">
        <v>0</v>
      </c>
      <c r="I341" s="314">
        <v>0</v>
      </c>
      <c r="J341" s="314">
        <v>0</v>
      </c>
    </row>
    <row r="342" spans="1:10">
      <c r="A342" s="314" t="s">
        <v>1532</v>
      </c>
      <c r="B342" s="314" t="s">
        <v>1927</v>
      </c>
      <c r="C342" s="314">
        <v>0</v>
      </c>
      <c r="D342" s="314">
        <v>0</v>
      </c>
      <c r="E342" s="314">
        <v>0</v>
      </c>
      <c r="F342" s="314">
        <v>0</v>
      </c>
      <c r="G342" s="314">
        <v>0</v>
      </c>
      <c r="H342" s="314">
        <v>0</v>
      </c>
      <c r="I342" s="314">
        <v>0</v>
      </c>
      <c r="J342" s="314">
        <v>0</v>
      </c>
    </row>
    <row r="343" spans="1:10">
      <c r="A343" s="314" t="s">
        <v>1533</v>
      </c>
      <c r="B343" s="314" t="s">
        <v>1928</v>
      </c>
      <c r="C343" s="314">
        <v>0</v>
      </c>
      <c r="D343" s="314">
        <v>0</v>
      </c>
      <c r="E343" s="314">
        <v>0</v>
      </c>
      <c r="F343" s="314">
        <v>0</v>
      </c>
      <c r="G343" s="314">
        <v>0</v>
      </c>
      <c r="H343" s="314">
        <v>0</v>
      </c>
      <c r="I343" s="314">
        <v>0</v>
      </c>
      <c r="J343" s="314">
        <v>0</v>
      </c>
    </row>
    <row r="344" spans="1:10">
      <c r="A344" s="314" t="s">
        <v>1534</v>
      </c>
      <c r="B344" s="314" t="s">
        <v>1929</v>
      </c>
      <c r="C344" s="314">
        <v>0</v>
      </c>
      <c r="D344" s="314">
        <v>0</v>
      </c>
      <c r="E344" s="314">
        <v>0</v>
      </c>
      <c r="F344" s="314">
        <v>0</v>
      </c>
      <c r="G344" s="314">
        <v>0</v>
      </c>
      <c r="H344" s="314">
        <v>0</v>
      </c>
      <c r="I344" s="314">
        <v>0</v>
      </c>
      <c r="J344" s="314">
        <v>0</v>
      </c>
    </row>
    <row r="345" spans="1:10">
      <c r="A345" s="314" t="s">
        <v>1535</v>
      </c>
      <c r="B345" s="314" t="s">
        <v>1930</v>
      </c>
      <c r="C345" s="314">
        <v>0</v>
      </c>
      <c r="D345" s="314">
        <v>0</v>
      </c>
      <c r="E345" s="314">
        <v>0</v>
      </c>
      <c r="F345" s="314">
        <v>0</v>
      </c>
      <c r="G345" s="314">
        <v>0</v>
      </c>
      <c r="H345" s="314">
        <v>0</v>
      </c>
      <c r="I345" s="314">
        <v>0</v>
      </c>
      <c r="J345" s="314">
        <v>0</v>
      </c>
    </row>
    <row r="346" spans="1:10">
      <c r="A346" s="314" t="s">
        <v>1536</v>
      </c>
      <c r="B346" s="314" t="s">
        <v>1931</v>
      </c>
      <c r="C346" s="314">
        <v>0</v>
      </c>
      <c r="D346" s="314">
        <v>0</v>
      </c>
      <c r="E346" s="314">
        <v>0</v>
      </c>
      <c r="F346" s="314">
        <v>0</v>
      </c>
      <c r="G346" s="314">
        <v>0</v>
      </c>
      <c r="H346" s="314">
        <v>0</v>
      </c>
      <c r="I346" s="314">
        <v>0</v>
      </c>
      <c r="J346" s="314">
        <v>0</v>
      </c>
    </row>
    <row r="347" spans="1:10">
      <c r="A347" s="314" t="s">
        <v>1537</v>
      </c>
      <c r="B347" s="314" t="s">
        <v>1932</v>
      </c>
      <c r="C347" s="314">
        <v>0</v>
      </c>
      <c r="D347" s="314">
        <v>0</v>
      </c>
      <c r="E347" s="314">
        <v>33000</v>
      </c>
      <c r="F347" s="314">
        <v>0</v>
      </c>
      <c r="G347" s="314">
        <v>33000</v>
      </c>
      <c r="H347" s="314">
        <v>0</v>
      </c>
      <c r="I347" s="314">
        <v>33000</v>
      </c>
      <c r="J347" s="314">
        <v>0</v>
      </c>
    </row>
    <row r="348" spans="1:10">
      <c r="A348" s="314" t="s">
        <v>1538</v>
      </c>
      <c r="B348" s="314" t="s">
        <v>1933</v>
      </c>
      <c r="C348" s="314">
        <v>0</v>
      </c>
      <c r="D348" s="314">
        <v>0</v>
      </c>
      <c r="E348" s="314">
        <v>2425704</v>
      </c>
      <c r="F348" s="314">
        <v>154072</v>
      </c>
      <c r="G348" s="314">
        <v>2271632</v>
      </c>
      <c r="H348" s="314">
        <v>0</v>
      </c>
      <c r="I348" s="314">
        <v>2271632</v>
      </c>
      <c r="J348" s="314">
        <v>0</v>
      </c>
    </row>
    <row r="349" spans="1:10">
      <c r="A349" s="314" t="s">
        <v>1539</v>
      </c>
      <c r="B349" s="314" t="s">
        <v>1934</v>
      </c>
      <c r="C349" s="314">
        <v>0</v>
      </c>
      <c r="D349" s="314">
        <v>0</v>
      </c>
      <c r="E349" s="314">
        <v>0</v>
      </c>
      <c r="F349" s="314">
        <v>0</v>
      </c>
      <c r="G349" s="314">
        <v>0</v>
      </c>
      <c r="H349" s="314">
        <v>0</v>
      </c>
      <c r="I349" s="314">
        <v>0</v>
      </c>
      <c r="J349" s="314">
        <v>0</v>
      </c>
    </row>
    <row r="350" spans="1:10">
      <c r="A350" s="314" t="s">
        <v>1540</v>
      </c>
      <c r="B350" s="314" t="s">
        <v>1935</v>
      </c>
      <c r="C350" s="314">
        <v>0</v>
      </c>
      <c r="D350" s="314">
        <v>0</v>
      </c>
      <c r="E350" s="314">
        <v>0</v>
      </c>
      <c r="F350" s="314">
        <v>0</v>
      </c>
      <c r="G350" s="314">
        <v>0</v>
      </c>
      <c r="H350" s="314">
        <v>0</v>
      </c>
      <c r="I350" s="314">
        <v>0</v>
      </c>
      <c r="J350" s="314">
        <v>0</v>
      </c>
    </row>
    <row r="351" spans="1:10">
      <c r="A351" s="314" t="s">
        <v>1541</v>
      </c>
      <c r="B351" s="314" t="s">
        <v>1936</v>
      </c>
      <c r="C351" s="314">
        <v>0</v>
      </c>
      <c r="D351" s="314">
        <v>0</v>
      </c>
      <c r="E351" s="314">
        <v>0</v>
      </c>
      <c r="F351" s="314">
        <v>0</v>
      </c>
      <c r="G351" s="314">
        <v>0</v>
      </c>
      <c r="H351" s="314">
        <v>0</v>
      </c>
      <c r="I351" s="314">
        <v>0</v>
      </c>
      <c r="J351" s="314">
        <v>0</v>
      </c>
    </row>
    <row r="352" spans="1:10">
      <c r="A352" s="314" t="s">
        <v>1542</v>
      </c>
      <c r="B352" s="314" t="s">
        <v>1937</v>
      </c>
      <c r="C352" s="314">
        <v>0</v>
      </c>
      <c r="D352" s="314">
        <v>0</v>
      </c>
      <c r="E352" s="314">
        <v>676758</v>
      </c>
      <c r="F352" s="314">
        <v>676758</v>
      </c>
      <c r="G352" s="314">
        <v>0</v>
      </c>
      <c r="H352" s="314">
        <v>0</v>
      </c>
      <c r="I352" s="314">
        <v>0</v>
      </c>
      <c r="J352" s="314">
        <v>0</v>
      </c>
    </row>
    <row r="353" spans="1:10">
      <c r="A353" s="314" t="s">
        <v>1543</v>
      </c>
      <c r="B353" s="314" t="s">
        <v>1938</v>
      </c>
      <c r="C353" s="314">
        <v>0</v>
      </c>
      <c r="D353" s="314">
        <v>0</v>
      </c>
      <c r="E353" s="314">
        <v>92500</v>
      </c>
      <c r="F353" s="314">
        <v>0</v>
      </c>
      <c r="G353" s="314">
        <v>92500</v>
      </c>
      <c r="H353" s="314">
        <v>0</v>
      </c>
      <c r="I353" s="314">
        <v>92500</v>
      </c>
      <c r="J353" s="314">
        <v>0</v>
      </c>
    </row>
    <row r="354" spans="1:10">
      <c r="A354" s="314" t="s">
        <v>1544</v>
      </c>
      <c r="B354" s="314" t="s">
        <v>1939</v>
      </c>
      <c r="C354" s="314">
        <v>0</v>
      </c>
      <c r="D354" s="314">
        <v>0</v>
      </c>
      <c r="E354" s="314">
        <v>354030</v>
      </c>
      <c r="F354" s="314">
        <v>941</v>
      </c>
      <c r="G354" s="314">
        <v>353089</v>
      </c>
      <c r="H354" s="314">
        <v>0</v>
      </c>
      <c r="I354" s="314">
        <v>353089</v>
      </c>
      <c r="J354" s="314">
        <v>0</v>
      </c>
    </row>
    <row r="355" spans="1:10">
      <c r="A355" s="314" t="s">
        <v>1545</v>
      </c>
      <c r="B355" s="314" t="s">
        <v>1940</v>
      </c>
      <c r="C355" s="314">
        <v>0</v>
      </c>
      <c r="D355" s="314">
        <v>0</v>
      </c>
      <c r="E355" s="314">
        <v>0</v>
      </c>
      <c r="F355" s="314">
        <v>0</v>
      </c>
      <c r="G355" s="314">
        <v>0</v>
      </c>
      <c r="H355" s="314">
        <v>0</v>
      </c>
      <c r="I355" s="314">
        <v>0</v>
      </c>
      <c r="J355" s="314">
        <v>0</v>
      </c>
    </row>
    <row r="356" spans="1:10">
      <c r="A356" s="314" t="s">
        <v>1546</v>
      </c>
      <c r="B356" s="314" t="s">
        <v>1941</v>
      </c>
      <c r="C356" s="314">
        <v>0</v>
      </c>
      <c r="D356" s="314">
        <v>0</v>
      </c>
      <c r="E356" s="314">
        <v>0</v>
      </c>
      <c r="F356" s="314">
        <v>0</v>
      </c>
      <c r="G356" s="314">
        <v>0</v>
      </c>
      <c r="H356" s="314">
        <v>0</v>
      </c>
      <c r="I356" s="314">
        <v>0</v>
      </c>
      <c r="J356" s="314">
        <v>0</v>
      </c>
    </row>
    <row r="357" spans="1:10">
      <c r="A357" s="314" t="s">
        <v>1547</v>
      </c>
      <c r="B357" s="314" t="s">
        <v>1942</v>
      </c>
      <c r="C357" s="314">
        <v>0</v>
      </c>
      <c r="D357" s="314">
        <v>0</v>
      </c>
      <c r="E357" s="314">
        <v>0</v>
      </c>
      <c r="F357" s="314">
        <v>0</v>
      </c>
      <c r="G357" s="314">
        <v>0</v>
      </c>
      <c r="H357" s="314">
        <v>0</v>
      </c>
      <c r="I357" s="314">
        <v>0</v>
      </c>
      <c r="J357" s="314">
        <v>0</v>
      </c>
    </row>
    <row r="358" spans="1:10">
      <c r="A358" s="314" t="s">
        <v>1548</v>
      </c>
      <c r="B358" s="314" t="s">
        <v>1943</v>
      </c>
      <c r="C358" s="314">
        <v>0</v>
      </c>
      <c r="D358" s="314">
        <v>0</v>
      </c>
      <c r="E358" s="314">
        <v>0</v>
      </c>
      <c r="F358" s="314">
        <v>0</v>
      </c>
      <c r="G358" s="314">
        <v>0</v>
      </c>
      <c r="H358" s="314">
        <v>0</v>
      </c>
      <c r="I358" s="314">
        <v>0</v>
      </c>
      <c r="J358" s="314">
        <v>0</v>
      </c>
    </row>
    <row r="359" spans="1:10">
      <c r="A359" s="314" t="s">
        <v>1549</v>
      </c>
      <c r="B359" s="314" t="s">
        <v>1944</v>
      </c>
      <c r="C359" s="314">
        <v>0</v>
      </c>
      <c r="D359" s="314">
        <v>0</v>
      </c>
      <c r="E359" s="314">
        <v>0</v>
      </c>
      <c r="F359" s="314">
        <v>0</v>
      </c>
      <c r="G359" s="314">
        <v>0</v>
      </c>
      <c r="H359" s="314">
        <v>0</v>
      </c>
      <c r="I359" s="314">
        <v>0</v>
      </c>
      <c r="J359" s="314">
        <v>0</v>
      </c>
    </row>
    <row r="360" spans="1:10">
      <c r="A360" s="314" t="s">
        <v>1550</v>
      </c>
      <c r="B360" s="314" t="s">
        <v>1945</v>
      </c>
      <c r="C360" s="314">
        <v>0</v>
      </c>
      <c r="D360" s="314">
        <v>0</v>
      </c>
      <c r="E360" s="314">
        <v>0</v>
      </c>
      <c r="F360" s="314">
        <v>0</v>
      </c>
      <c r="G360" s="314">
        <v>0</v>
      </c>
      <c r="H360" s="314">
        <v>0</v>
      </c>
      <c r="I360" s="314">
        <v>0</v>
      </c>
      <c r="J360" s="314">
        <v>0</v>
      </c>
    </row>
    <row r="361" spans="1:10">
      <c r="A361" s="314" t="s">
        <v>1551</v>
      </c>
      <c r="B361" s="314" t="s">
        <v>1946</v>
      </c>
      <c r="C361" s="314">
        <v>0</v>
      </c>
      <c r="D361" s="314">
        <v>0</v>
      </c>
      <c r="E361" s="314">
        <v>0</v>
      </c>
      <c r="F361" s="314">
        <v>0</v>
      </c>
      <c r="G361" s="314">
        <v>0</v>
      </c>
      <c r="H361" s="314">
        <v>0</v>
      </c>
      <c r="I361" s="314">
        <v>0</v>
      </c>
      <c r="J361" s="314">
        <v>0</v>
      </c>
    </row>
    <row r="362" spans="1:10">
      <c r="A362" s="314" t="s">
        <v>1552</v>
      </c>
      <c r="B362" s="314" t="s">
        <v>1947</v>
      </c>
      <c r="C362" s="314">
        <v>0</v>
      </c>
      <c r="D362" s="314">
        <v>0</v>
      </c>
      <c r="E362" s="314">
        <v>0</v>
      </c>
      <c r="F362" s="314">
        <v>0</v>
      </c>
      <c r="G362" s="314">
        <v>0</v>
      </c>
      <c r="H362" s="314">
        <v>0</v>
      </c>
      <c r="I362" s="314">
        <v>0</v>
      </c>
      <c r="J362" s="314">
        <v>0</v>
      </c>
    </row>
    <row r="363" spans="1:10">
      <c r="A363" s="314" t="s">
        <v>1553</v>
      </c>
      <c r="B363" s="314" t="s">
        <v>1948</v>
      </c>
      <c r="C363" s="314">
        <v>0</v>
      </c>
      <c r="D363" s="314">
        <v>0</v>
      </c>
      <c r="E363" s="314">
        <v>0</v>
      </c>
      <c r="F363" s="314">
        <v>0</v>
      </c>
      <c r="G363" s="314">
        <v>0</v>
      </c>
      <c r="H363" s="314">
        <v>0</v>
      </c>
      <c r="I363" s="314">
        <v>0</v>
      </c>
      <c r="J363" s="314">
        <v>0</v>
      </c>
    </row>
    <row r="364" spans="1:10">
      <c r="A364" s="314" t="s">
        <v>1554</v>
      </c>
      <c r="B364" s="314" t="s">
        <v>1949</v>
      </c>
      <c r="C364" s="314">
        <v>0</v>
      </c>
      <c r="D364" s="314">
        <v>0</v>
      </c>
      <c r="E364" s="314">
        <v>175184</v>
      </c>
      <c r="F364" s="314">
        <v>0</v>
      </c>
      <c r="G364" s="314">
        <v>175184</v>
      </c>
      <c r="H364" s="314">
        <v>0</v>
      </c>
      <c r="I364" s="314">
        <v>175184</v>
      </c>
      <c r="J364" s="314">
        <v>0</v>
      </c>
    </row>
    <row r="365" spans="1:10">
      <c r="A365" s="314" t="s">
        <v>1555</v>
      </c>
      <c r="B365" s="314" t="s">
        <v>1950</v>
      </c>
      <c r="C365" s="314">
        <v>0</v>
      </c>
      <c r="D365" s="314">
        <v>0</v>
      </c>
      <c r="E365" s="314">
        <v>0</v>
      </c>
      <c r="F365" s="314">
        <v>0</v>
      </c>
      <c r="G365" s="314">
        <v>0</v>
      </c>
      <c r="H365" s="314">
        <v>0</v>
      </c>
      <c r="I365" s="314">
        <v>0</v>
      </c>
      <c r="J365" s="314">
        <v>0</v>
      </c>
    </row>
    <row r="366" spans="1:10">
      <c r="A366" s="314" t="s">
        <v>1556</v>
      </c>
      <c r="B366" s="314" t="s">
        <v>1590</v>
      </c>
      <c r="C366" s="314">
        <v>0</v>
      </c>
      <c r="D366" s="314">
        <v>0</v>
      </c>
      <c r="E366" s="314">
        <v>0</v>
      </c>
      <c r="F366" s="314">
        <v>0</v>
      </c>
      <c r="G366" s="314">
        <v>0</v>
      </c>
      <c r="H366" s="314">
        <v>0</v>
      </c>
      <c r="I366" s="314">
        <v>0</v>
      </c>
      <c r="J366" s="314">
        <v>0</v>
      </c>
    </row>
    <row r="367" spans="1:10">
      <c r="A367" s="314" t="s">
        <v>1557</v>
      </c>
      <c r="B367" s="314" t="s">
        <v>1951</v>
      </c>
      <c r="C367" s="314">
        <v>0</v>
      </c>
      <c r="D367" s="314">
        <v>0</v>
      </c>
      <c r="E367" s="314">
        <v>0</v>
      </c>
      <c r="F367" s="314">
        <v>0</v>
      </c>
      <c r="G367" s="314">
        <v>0</v>
      </c>
      <c r="H367" s="314">
        <v>0</v>
      </c>
      <c r="I367" s="314">
        <v>0</v>
      </c>
      <c r="J367" s="314">
        <v>0</v>
      </c>
    </row>
    <row r="368" spans="1:10">
      <c r="A368" s="314" t="s">
        <v>1558</v>
      </c>
      <c r="B368" s="314" t="s">
        <v>1952</v>
      </c>
      <c r="C368" s="314">
        <v>0</v>
      </c>
      <c r="D368" s="314">
        <v>0</v>
      </c>
      <c r="E368" s="314">
        <v>0</v>
      </c>
      <c r="F368" s="314">
        <v>0</v>
      </c>
      <c r="G368" s="314">
        <v>0</v>
      </c>
      <c r="H368" s="314">
        <v>0</v>
      </c>
      <c r="I368" s="314">
        <v>0</v>
      </c>
      <c r="J368" s="314">
        <v>0</v>
      </c>
    </row>
    <row r="369" spans="1:10">
      <c r="A369" s="314" t="s">
        <v>1559</v>
      </c>
      <c r="B369" s="314" t="s">
        <v>214</v>
      </c>
      <c r="C369" s="314">
        <v>0</v>
      </c>
      <c r="D369" s="314">
        <v>0</v>
      </c>
      <c r="E369" s="314">
        <v>0</v>
      </c>
      <c r="F369" s="314">
        <v>160806</v>
      </c>
      <c r="G369" s="314">
        <v>0</v>
      </c>
      <c r="H369" s="314">
        <v>160806</v>
      </c>
      <c r="I369" s="314">
        <v>0</v>
      </c>
      <c r="J369" s="314">
        <v>160806</v>
      </c>
    </row>
    <row r="370" spans="1:10">
      <c r="A370" s="314" t="s">
        <v>1560</v>
      </c>
      <c r="B370" s="314" t="s">
        <v>1953</v>
      </c>
      <c r="C370" s="314">
        <v>0</v>
      </c>
      <c r="D370" s="314">
        <v>0</v>
      </c>
      <c r="E370" s="314">
        <v>0</v>
      </c>
      <c r="F370" s="314">
        <v>0</v>
      </c>
      <c r="G370" s="314">
        <v>0</v>
      </c>
      <c r="H370" s="314">
        <v>0</v>
      </c>
      <c r="I370" s="314">
        <v>0</v>
      </c>
      <c r="J370" s="314">
        <v>0</v>
      </c>
    </row>
    <row r="371" spans="1:10">
      <c r="A371" s="314" t="s">
        <v>1561</v>
      </c>
      <c r="B371" s="314" t="s">
        <v>1954</v>
      </c>
      <c r="C371" s="314">
        <v>0</v>
      </c>
      <c r="D371" s="314">
        <v>0</v>
      </c>
      <c r="E371" s="314">
        <v>0</v>
      </c>
      <c r="F371" s="314">
        <v>0</v>
      </c>
      <c r="G371" s="314">
        <v>0</v>
      </c>
      <c r="H371" s="314">
        <v>0</v>
      </c>
      <c r="I371" s="314">
        <v>0</v>
      </c>
      <c r="J371" s="314">
        <v>0</v>
      </c>
    </row>
    <row r="372" spans="1:10">
      <c r="A372" s="314" t="s">
        <v>1562</v>
      </c>
      <c r="B372" s="314" t="s">
        <v>1955</v>
      </c>
      <c r="C372" s="314">
        <v>0</v>
      </c>
      <c r="D372" s="314">
        <v>0</v>
      </c>
      <c r="E372" s="314">
        <v>0</v>
      </c>
      <c r="F372" s="314">
        <v>0</v>
      </c>
      <c r="G372" s="314">
        <v>0</v>
      </c>
      <c r="H372" s="314">
        <v>0</v>
      </c>
      <c r="I372" s="314">
        <v>0</v>
      </c>
      <c r="J372" s="314">
        <v>0</v>
      </c>
    </row>
    <row r="373" spans="1:10">
      <c r="A373" s="314" t="s">
        <v>1563</v>
      </c>
      <c r="B373" s="314" t="s">
        <v>1956</v>
      </c>
      <c r="C373" s="314">
        <v>0</v>
      </c>
      <c r="D373" s="314">
        <v>0</v>
      </c>
      <c r="E373" s="314">
        <v>0</v>
      </c>
      <c r="F373" s="314">
        <v>0</v>
      </c>
      <c r="G373" s="314">
        <v>0</v>
      </c>
      <c r="H373" s="314">
        <v>0</v>
      </c>
      <c r="I373" s="314">
        <v>0</v>
      </c>
      <c r="J373" s="314">
        <v>0</v>
      </c>
    </row>
    <row r="374" spans="1:10">
      <c r="A374" s="314" t="s">
        <v>1564</v>
      </c>
      <c r="B374" s="314" t="s">
        <v>215</v>
      </c>
      <c r="C374" s="314">
        <v>0</v>
      </c>
      <c r="D374" s="314">
        <v>0</v>
      </c>
      <c r="E374" s="314">
        <v>725</v>
      </c>
      <c r="F374" s="314">
        <v>329641</v>
      </c>
      <c r="G374" s="314">
        <v>0</v>
      </c>
      <c r="H374" s="314">
        <v>328916</v>
      </c>
      <c r="I374" s="314">
        <v>0</v>
      </c>
      <c r="J374" s="314">
        <v>328916</v>
      </c>
    </row>
    <row r="375" spans="1:10">
      <c r="A375" s="314" t="s">
        <v>1565</v>
      </c>
      <c r="B375" s="314" t="s">
        <v>1957</v>
      </c>
      <c r="C375" s="314">
        <v>0</v>
      </c>
      <c r="D375" s="314">
        <v>0</v>
      </c>
      <c r="E375" s="314">
        <v>0</v>
      </c>
      <c r="F375" s="314">
        <v>25000</v>
      </c>
      <c r="G375" s="314">
        <v>0</v>
      </c>
      <c r="H375" s="314">
        <v>25000</v>
      </c>
      <c r="I375" s="314">
        <v>0</v>
      </c>
      <c r="J375" s="314">
        <v>25000</v>
      </c>
    </row>
    <row r="376" spans="1:10">
      <c r="A376" s="314" t="s">
        <v>1566</v>
      </c>
      <c r="B376" s="314" t="s">
        <v>1958</v>
      </c>
      <c r="C376" s="314">
        <v>0</v>
      </c>
      <c r="D376" s="314">
        <v>0</v>
      </c>
      <c r="E376" s="314">
        <v>0</v>
      </c>
      <c r="F376" s="314">
        <v>0</v>
      </c>
      <c r="G376" s="314">
        <v>0</v>
      </c>
      <c r="H376" s="314">
        <v>0</v>
      </c>
      <c r="I376" s="314">
        <v>0</v>
      </c>
      <c r="J376" s="314">
        <v>0</v>
      </c>
    </row>
    <row r="377" spans="1:10">
      <c r="A377" s="314" t="s">
        <v>1567</v>
      </c>
      <c r="B377" s="314" t="s">
        <v>1959</v>
      </c>
      <c r="C377" s="314">
        <v>0</v>
      </c>
      <c r="D377" s="314">
        <v>0</v>
      </c>
      <c r="E377" s="314">
        <v>0</v>
      </c>
      <c r="F377" s="314">
        <v>0</v>
      </c>
      <c r="G377" s="314">
        <v>0</v>
      </c>
      <c r="H377" s="314">
        <v>0</v>
      </c>
      <c r="I377" s="314">
        <v>0</v>
      </c>
      <c r="J377" s="314">
        <v>0</v>
      </c>
    </row>
    <row r="378" spans="1:10">
      <c r="A378" s="314" t="s">
        <v>1568</v>
      </c>
      <c r="B378" s="314" t="s">
        <v>1591</v>
      </c>
      <c r="C378" s="314">
        <v>0</v>
      </c>
      <c r="D378" s="314">
        <v>0</v>
      </c>
      <c r="E378" s="314">
        <v>0</v>
      </c>
      <c r="F378" s="314">
        <v>0</v>
      </c>
      <c r="G378" s="314">
        <v>0</v>
      </c>
      <c r="H378" s="314">
        <v>0</v>
      </c>
      <c r="I378" s="314">
        <v>0</v>
      </c>
      <c r="J378" s="314">
        <v>0</v>
      </c>
    </row>
    <row r="379" spans="1:10">
      <c r="A379" s="314" t="s">
        <v>1569</v>
      </c>
      <c r="B379" s="314" t="s">
        <v>1960</v>
      </c>
      <c r="C379" s="314">
        <v>0</v>
      </c>
      <c r="D379" s="314">
        <v>0</v>
      </c>
      <c r="E379" s="314">
        <v>708529</v>
      </c>
      <c r="F379" s="314">
        <v>4387</v>
      </c>
      <c r="G379" s="314">
        <v>704142</v>
      </c>
      <c r="H379" s="314">
        <v>0</v>
      </c>
      <c r="I379" s="314">
        <v>704142</v>
      </c>
      <c r="J379" s="314">
        <v>0</v>
      </c>
    </row>
    <row r="380" spans="1:10">
      <c r="A380" s="314" t="s">
        <v>1570</v>
      </c>
      <c r="B380" s="314" t="s">
        <v>1961</v>
      </c>
      <c r="C380" s="314">
        <v>0</v>
      </c>
      <c r="D380" s="314">
        <v>0</v>
      </c>
      <c r="E380" s="314">
        <v>0</v>
      </c>
      <c r="F380" s="314">
        <v>0</v>
      </c>
      <c r="G380" s="314">
        <v>0</v>
      </c>
      <c r="H380" s="314">
        <v>0</v>
      </c>
      <c r="I380" s="314">
        <v>0</v>
      </c>
      <c r="J380" s="314">
        <v>0</v>
      </c>
    </row>
    <row r="381" spans="1:10">
      <c r="A381" s="314" t="s">
        <v>1571</v>
      </c>
      <c r="B381" s="314" t="s">
        <v>1962</v>
      </c>
      <c r="C381" s="314">
        <v>0</v>
      </c>
      <c r="D381" s="314">
        <v>0</v>
      </c>
      <c r="E381" s="314">
        <v>0</v>
      </c>
      <c r="F381" s="314">
        <v>0</v>
      </c>
      <c r="G381" s="314">
        <v>0</v>
      </c>
      <c r="H381" s="314">
        <v>0</v>
      </c>
      <c r="I381" s="314">
        <v>0</v>
      </c>
      <c r="J381" s="314">
        <v>0</v>
      </c>
    </row>
    <row r="382" spans="1:10">
      <c r="A382" s="314" t="s">
        <v>1572</v>
      </c>
      <c r="B382" s="314" t="s">
        <v>1963</v>
      </c>
      <c r="C382" s="314">
        <v>0</v>
      </c>
      <c r="D382" s="314">
        <v>0</v>
      </c>
      <c r="E382" s="314">
        <v>0</v>
      </c>
      <c r="F382" s="314">
        <v>0</v>
      </c>
      <c r="G382" s="314">
        <v>0</v>
      </c>
      <c r="H382" s="314">
        <v>0</v>
      </c>
      <c r="I382" s="314">
        <v>0</v>
      </c>
      <c r="J382" s="314">
        <v>0</v>
      </c>
    </row>
    <row r="383" spans="1:10">
      <c r="A383" s="314" t="s">
        <v>1573</v>
      </c>
      <c r="B383" s="314" t="s">
        <v>1964</v>
      </c>
      <c r="C383" s="314">
        <v>0</v>
      </c>
      <c r="D383" s="314">
        <v>0</v>
      </c>
      <c r="E383" s="314">
        <v>0</v>
      </c>
      <c r="F383" s="314">
        <v>0</v>
      </c>
      <c r="G383" s="314">
        <v>0</v>
      </c>
      <c r="H383" s="314">
        <v>0</v>
      </c>
      <c r="I383" s="314">
        <v>0</v>
      </c>
      <c r="J383" s="314">
        <v>0</v>
      </c>
    </row>
    <row r="384" spans="1:10">
      <c r="A384" s="314" t="s">
        <v>1574</v>
      </c>
      <c r="B384" s="314" t="s">
        <v>225</v>
      </c>
      <c r="C384" s="314">
        <v>0</v>
      </c>
      <c r="D384" s="314">
        <v>0</v>
      </c>
      <c r="E384" s="314">
        <v>0</v>
      </c>
      <c r="F384" s="314">
        <v>0</v>
      </c>
      <c r="G384" s="314">
        <v>0</v>
      </c>
      <c r="H384" s="314">
        <v>0</v>
      </c>
      <c r="I384" s="314">
        <v>0</v>
      </c>
      <c r="J384" s="314">
        <v>0</v>
      </c>
    </row>
    <row r="385" spans="1:10">
      <c r="A385" s="314" t="s">
        <v>1575</v>
      </c>
      <c r="B385" s="314" t="s">
        <v>1576</v>
      </c>
      <c r="C385" s="314">
        <v>0</v>
      </c>
      <c r="D385" s="314">
        <v>0</v>
      </c>
      <c r="E385" s="314">
        <v>0</v>
      </c>
      <c r="F385" s="314">
        <v>0</v>
      </c>
      <c r="G385" s="314">
        <v>0</v>
      </c>
      <c r="H385" s="314">
        <v>0</v>
      </c>
      <c r="I385" s="314">
        <v>0</v>
      </c>
      <c r="J385" s="314">
        <v>0</v>
      </c>
    </row>
    <row r="386" spans="1:10">
      <c r="A386" s="314" t="s">
        <v>1577</v>
      </c>
      <c r="B386" s="314" t="s">
        <v>227</v>
      </c>
      <c r="C386" s="314">
        <v>0</v>
      </c>
      <c r="D386" s="314">
        <v>0</v>
      </c>
      <c r="E386" s="314">
        <v>46762</v>
      </c>
      <c r="F386" s="314">
        <v>0</v>
      </c>
      <c r="G386" s="314">
        <v>46762</v>
      </c>
      <c r="H386" s="314">
        <v>0</v>
      </c>
      <c r="I386" s="314">
        <v>46762</v>
      </c>
      <c r="J386" s="314">
        <v>0</v>
      </c>
    </row>
  </sheetData>
  <phoneticPr fontId="9"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1E316-B5C7-43FD-A698-F63F67AB7055}">
  <sheetPr>
    <tabColor rgb="FFFFFF00"/>
  </sheetPr>
  <dimension ref="A1:H39"/>
  <sheetViews>
    <sheetView workbookViewId="0">
      <selection activeCell="G8" sqref="G8:G11"/>
    </sheetView>
  </sheetViews>
  <sheetFormatPr defaultRowHeight="16.5"/>
  <cols>
    <col min="1" max="1" width="9.5" bestFit="1" customWidth="1"/>
    <col min="2" max="2" width="23.5" bestFit="1" customWidth="1"/>
    <col min="3" max="3" width="15" style="313" bestFit="1" customWidth="1"/>
    <col min="4" max="4" width="16.125" style="313" bestFit="1" customWidth="1"/>
    <col min="5" max="5" width="16.125" bestFit="1" customWidth="1"/>
    <col min="6" max="6" width="20.5" bestFit="1" customWidth="1"/>
    <col min="7" max="8" width="20.5" style="313" bestFit="1" customWidth="1"/>
  </cols>
  <sheetData>
    <row r="1" spans="1:8">
      <c r="A1" t="s">
        <v>1578</v>
      </c>
      <c r="B1" t="s">
        <v>1579</v>
      </c>
      <c r="C1" s="313" t="s">
        <v>1592</v>
      </c>
      <c r="D1" s="313" t="s">
        <v>1593</v>
      </c>
      <c r="E1" t="s">
        <v>1580</v>
      </c>
      <c r="F1" t="s">
        <v>1581</v>
      </c>
      <c r="G1" s="313" t="s">
        <v>1594</v>
      </c>
      <c r="H1" s="313" t="s">
        <v>1595</v>
      </c>
    </row>
    <row r="2" spans="1:8">
      <c r="A2" t="s">
        <v>1179</v>
      </c>
      <c r="B2" t="s">
        <v>101</v>
      </c>
      <c r="C2" s="313">
        <v>0</v>
      </c>
      <c r="D2" s="313">
        <v>28124966</v>
      </c>
      <c r="E2" t="s">
        <v>1291</v>
      </c>
      <c r="F2" t="s">
        <v>6</v>
      </c>
      <c r="G2" s="313">
        <v>0</v>
      </c>
      <c r="H2" s="313">
        <v>22673269</v>
      </c>
    </row>
    <row r="3" spans="1:8">
      <c r="A3" t="s">
        <v>1180</v>
      </c>
      <c r="B3" t="s">
        <v>1181</v>
      </c>
      <c r="C3" s="313">
        <v>36210</v>
      </c>
      <c r="D3" s="313">
        <v>0</v>
      </c>
      <c r="E3" t="s">
        <v>1292</v>
      </c>
      <c r="F3" t="s">
        <v>123</v>
      </c>
      <c r="G3" s="313">
        <v>6701448</v>
      </c>
      <c r="H3" s="313">
        <v>0</v>
      </c>
    </row>
    <row r="4" spans="1:8">
      <c r="A4" t="s">
        <v>1183</v>
      </c>
      <c r="B4" t="s">
        <v>1184</v>
      </c>
      <c r="C4" s="313">
        <v>2053658</v>
      </c>
      <c r="D4" s="313">
        <v>0</v>
      </c>
      <c r="E4" t="s">
        <v>1294</v>
      </c>
      <c r="F4" t="s">
        <v>1295</v>
      </c>
      <c r="G4" s="313">
        <v>6701448</v>
      </c>
      <c r="H4" s="313">
        <v>0</v>
      </c>
    </row>
    <row r="5" spans="1:8">
      <c r="A5" t="s">
        <v>1185</v>
      </c>
      <c r="B5" t="s">
        <v>1186</v>
      </c>
      <c r="C5" s="313">
        <v>8235</v>
      </c>
      <c r="D5" s="313">
        <v>0</v>
      </c>
      <c r="E5" t="s">
        <v>1297</v>
      </c>
      <c r="F5" t="s">
        <v>129</v>
      </c>
      <c r="G5" s="313">
        <v>311654</v>
      </c>
      <c r="H5" s="313">
        <v>0</v>
      </c>
    </row>
    <row r="6" spans="1:8">
      <c r="A6" t="s">
        <v>1187</v>
      </c>
      <c r="B6" t="s">
        <v>1188</v>
      </c>
      <c r="C6" s="313">
        <v>91828</v>
      </c>
      <c r="D6" s="313">
        <v>0</v>
      </c>
      <c r="E6" t="s">
        <v>1299</v>
      </c>
      <c r="F6" t="s">
        <v>130</v>
      </c>
      <c r="G6" s="313">
        <v>4339539</v>
      </c>
      <c r="H6" s="313">
        <v>0</v>
      </c>
    </row>
    <row r="7" spans="1:8">
      <c r="A7" t="s">
        <v>1189</v>
      </c>
      <c r="B7" t="s">
        <v>1190</v>
      </c>
      <c r="C7" s="313">
        <v>161378</v>
      </c>
      <c r="D7" s="313">
        <v>0</v>
      </c>
      <c r="E7" t="s">
        <v>1301</v>
      </c>
      <c r="F7" t="s">
        <v>132</v>
      </c>
      <c r="G7" s="313">
        <v>11112008</v>
      </c>
      <c r="H7" s="313">
        <v>0</v>
      </c>
    </row>
    <row r="8" spans="1:8">
      <c r="A8" t="s">
        <v>1191</v>
      </c>
      <c r="B8" t="s">
        <v>1192</v>
      </c>
      <c r="C8" s="313">
        <v>631</v>
      </c>
      <c r="D8" s="313">
        <v>0</v>
      </c>
      <c r="E8" t="s">
        <v>1302</v>
      </c>
      <c r="F8" t="s">
        <v>1303</v>
      </c>
      <c r="G8" s="313">
        <v>7868422</v>
      </c>
      <c r="H8" s="313">
        <v>0</v>
      </c>
    </row>
    <row r="9" spans="1:8">
      <c r="A9" t="s">
        <v>1193</v>
      </c>
      <c r="B9" t="s">
        <v>1194</v>
      </c>
      <c r="C9" s="313">
        <v>3056643</v>
      </c>
      <c r="D9" s="313">
        <v>0</v>
      </c>
      <c r="E9" t="s">
        <v>1305</v>
      </c>
      <c r="F9" t="s">
        <v>1306</v>
      </c>
      <c r="G9" s="313">
        <v>3012320</v>
      </c>
      <c r="H9" s="313">
        <v>0</v>
      </c>
    </row>
    <row r="10" spans="1:8">
      <c r="A10" t="s">
        <v>1197</v>
      </c>
      <c r="B10" t="s">
        <v>86</v>
      </c>
      <c r="C10" s="313">
        <v>4597726</v>
      </c>
      <c r="D10" s="313">
        <v>0</v>
      </c>
      <c r="E10" t="s">
        <v>1307</v>
      </c>
      <c r="F10" t="s">
        <v>1308</v>
      </c>
      <c r="G10" s="313">
        <v>15186</v>
      </c>
      <c r="H10" s="313">
        <v>0</v>
      </c>
    </row>
    <row r="11" spans="1:8">
      <c r="A11" t="s">
        <v>1199</v>
      </c>
      <c r="B11" t="s">
        <v>87</v>
      </c>
      <c r="C11" s="313">
        <v>13444980</v>
      </c>
      <c r="D11" s="313">
        <v>0</v>
      </c>
      <c r="E11" t="s">
        <v>1309</v>
      </c>
      <c r="F11" t="s">
        <v>1310</v>
      </c>
      <c r="G11" s="313">
        <v>216080</v>
      </c>
      <c r="H11" s="313">
        <v>0</v>
      </c>
    </row>
    <row r="12" spans="1:8">
      <c r="A12" t="s">
        <v>1205</v>
      </c>
      <c r="B12" t="s">
        <v>88</v>
      </c>
      <c r="C12" s="313">
        <v>1028274</v>
      </c>
      <c r="D12" s="313">
        <v>0</v>
      </c>
      <c r="E12" t="s">
        <v>1316</v>
      </c>
      <c r="F12" t="s">
        <v>134</v>
      </c>
      <c r="G12" s="313">
        <v>1202</v>
      </c>
      <c r="H12" s="313">
        <v>0</v>
      </c>
    </row>
    <row r="13" spans="1:8">
      <c r="A13" t="s">
        <v>1206</v>
      </c>
      <c r="B13" t="s">
        <v>89</v>
      </c>
      <c r="C13" s="313">
        <v>2961265</v>
      </c>
      <c r="D13" s="313">
        <v>0</v>
      </c>
      <c r="E13" t="s">
        <v>1317</v>
      </c>
      <c r="F13" t="s">
        <v>1318</v>
      </c>
      <c r="G13" s="313">
        <v>1202</v>
      </c>
      <c r="H13" s="313">
        <v>0</v>
      </c>
    </row>
    <row r="14" spans="1:8">
      <c r="A14" t="s">
        <v>1210</v>
      </c>
      <c r="B14" t="s">
        <v>1211</v>
      </c>
      <c r="C14" s="313">
        <v>2961265</v>
      </c>
      <c r="D14" s="313">
        <v>0</v>
      </c>
      <c r="E14" t="s">
        <v>1324</v>
      </c>
      <c r="F14" t="s">
        <v>140</v>
      </c>
      <c r="G14" s="313">
        <v>207418</v>
      </c>
      <c r="H14" s="313">
        <v>0</v>
      </c>
    </row>
    <row r="15" spans="1:8">
      <c r="A15" t="s">
        <v>1216</v>
      </c>
      <c r="B15" t="s">
        <v>91</v>
      </c>
      <c r="C15" s="313">
        <v>395327</v>
      </c>
      <c r="D15" s="313">
        <v>0</v>
      </c>
      <c r="E15" t="s">
        <v>1333</v>
      </c>
      <c r="F15" t="s">
        <v>1334</v>
      </c>
      <c r="G15" s="313">
        <v>207418</v>
      </c>
      <c r="H15" s="313">
        <v>0</v>
      </c>
    </row>
    <row r="16" spans="1:8">
      <c r="A16" t="s">
        <v>1217</v>
      </c>
      <c r="B16" t="s">
        <v>1218</v>
      </c>
      <c r="C16" s="313">
        <v>395327</v>
      </c>
      <c r="D16" s="313">
        <v>0</v>
      </c>
      <c r="E16" t="s">
        <v>795</v>
      </c>
      <c r="F16" t="s">
        <v>188</v>
      </c>
      <c r="G16" s="313">
        <v>0</v>
      </c>
      <c r="H16" s="313">
        <v>21601165</v>
      </c>
    </row>
    <row r="17" spans="1:8">
      <c r="A17" t="s">
        <v>1230</v>
      </c>
      <c r="B17" t="s">
        <v>94</v>
      </c>
      <c r="C17" s="313">
        <v>288811</v>
      </c>
      <c r="D17" s="313">
        <v>0</v>
      </c>
      <c r="E17" t="s">
        <v>1338</v>
      </c>
      <c r="F17" t="s">
        <v>145</v>
      </c>
      <c r="G17" s="313">
        <v>21601165</v>
      </c>
      <c r="H17" s="313">
        <v>0</v>
      </c>
    </row>
    <row r="18" spans="1:8">
      <c r="A18" t="s">
        <v>1231</v>
      </c>
      <c r="B18" t="s">
        <v>1232</v>
      </c>
      <c r="C18" s="313">
        <v>285908</v>
      </c>
      <c r="D18" s="313">
        <v>0</v>
      </c>
      <c r="E18" t="s">
        <v>1289</v>
      </c>
      <c r="F18" t="s">
        <v>1290</v>
      </c>
      <c r="G18" s="313">
        <v>0</v>
      </c>
      <c r="H18" s="313">
        <v>44274434</v>
      </c>
    </row>
    <row r="19" spans="1:8">
      <c r="A19" t="s">
        <v>1234</v>
      </c>
      <c r="B19" t="s">
        <v>1235</v>
      </c>
      <c r="C19" s="313">
        <v>2903</v>
      </c>
      <c r="D19" s="313">
        <v>0</v>
      </c>
      <c r="E19" t="s">
        <v>1582</v>
      </c>
      <c r="F19" t="s">
        <v>1582</v>
      </c>
      <c r="G19" s="313">
        <v>0</v>
      </c>
      <c r="H19" s="313">
        <v>0</v>
      </c>
    </row>
    <row r="20" spans="1:8">
      <c r="A20" t="s">
        <v>1240</v>
      </c>
      <c r="B20" t="s">
        <v>172</v>
      </c>
      <c r="C20" s="313">
        <v>0</v>
      </c>
      <c r="D20" s="313">
        <v>77422803</v>
      </c>
      <c r="E20" t="s">
        <v>1357</v>
      </c>
      <c r="F20" t="s">
        <v>1358</v>
      </c>
      <c r="G20" s="313">
        <v>0</v>
      </c>
      <c r="H20" s="313">
        <v>90000000</v>
      </c>
    </row>
    <row r="21" spans="1:8">
      <c r="A21" t="s">
        <v>1243</v>
      </c>
      <c r="B21" t="s">
        <v>1244</v>
      </c>
      <c r="C21" s="313">
        <v>54440717</v>
      </c>
      <c r="D21" s="313">
        <v>0</v>
      </c>
      <c r="E21" t="s">
        <v>1359</v>
      </c>
      <c r="F21" t="s">
        <v>1360</v>
      </c>
      <c r="G21" s="313">
        <v>90000000</v>
      </c>
      <c r="H21" s="313">
        <v>0</v>
      </c>
    </row>
    <row r="22" spans="1:8">
      <c r="A22" t="s">
        <v>1248</v>
      </c>
      <c r="B22" t="s">
        <v>1249</v>
      </c>
      <c r="C22" s="313">
        <v>18312614</v>
      </c>
      <c r="D22" s="313">
        <v>0</v>
      </c>
      <c r="E22" t="s">
        <v>1363</v>
      </c>
      <c r="F22" t="s">
        <v>154</v>
      </c>
      <c r="G22" s="313">
        <v>0</v>
      </c>
      <c r="H22" s="313">
        <v>1400000</v>
      </c>
    </row>
    <row r="23" spans="1:8">
      <c r="A23" t="s">
        <v>564</v>
      </c>
      <c r="B23" t="s">
        <v>1250</v>
      </c>
      <c r="C23" s="313">
        <v>-3699409</v>
      </c>
      <c r="D23" s="313">
        <v>0</v>
      </c>
      <c r="E23" t="s">
        <v>1364</v>
      </c>
      <c r="F23" t="s">
        <v>155</v>
      </c>
      <c r="G23" s="313">
        <v>0</v>
      </c>
      <c r="H23" s="313">
        <v>-30126665</v>
      </c>
    </row>
    <row r="24" spans="1:8">
      <c r="A24" t="s">
        <v>1251</v>
      </c>
      <c r="B24" t="s">
        <v>1252</v>
      </c>
      <c r="C24" s="313">
        <v>37344405</v>
      </c>
      <c r="D24" s="313">
        <v>0</v>
      </c>
      <c r="E24" t="s">
        <v>1370</v>
      </c>
      <c r="F24" t="s">
        <v>1371</v>
      </c>
      <c r="G24" s="313">
        <v>-30313711</v>
      </c>
      <c r="H24" s="313">
        <v>0</v>
      </c>
    </row>
    <row r="25" spans="1:8">
      <c r="A25" t="s">
        <v>570</v>
      </c>
      <c r="B25" t="s">
        <v>1253</v>
      </c>
      <c r="C25" s="313">
        <v>-6859063</v>
      </c>
      <c r="D25" s="313">
        <v>0</v>
      </c>
      <c r="E25" t="s">
        <v>1373</v>
      </c>
      <c r="F25" t="s">
        <v>1374</v>
      </c>
      <c r="G25" s="313">
        <v>-30313711</v>
      </c>
      <c r="H25" s="313">
        <v>0</v>
      </c>
    </row>
    <row r="26" spans="1:8">
      <c r="A26" t="s">
        <v>1254</v>
      </c>
      <c r="B26" t="s">
        <v>1113</v>
      </c>
      <c r="C26" s="313">
        <v>9399021</v>
      </c>
      <c r="D26" s="313">
        <v>0</v>
      </c>
      <c r="E26" t="s">
        <v>1377</v>
      </c>
      <c r="F26" t="s">
        <v>1378</v>
      </c>
      <c r="G26" s="313">
        <v>187046</v>
      </c>
      <c r="H26" s="313">
        <v>0</v>
      </c>
    </row>
    <row r="27" spans="1:8">
      <c r="A27" t="s">
        <v>576</v>
      </c>
      <c r="B27" t="s">
        <v>1255</v>
      </c>
      <c r="C27" s="313">
        <v>-2030490</v>
      </c>
      <c r="D27" s="313">
        <v>0</v>
      </c>
      <c r="E27" t="s">
        <v>1355</v>
      </c>
      <c r="F27" t="s">
        <v>1356</v>
      </c>
      <c r="G27" s="313">
        <v>0</v>
      </c>
      <c r="H27" s="313">
        <v>61273335</v>
      </c>
    </row>
    <row r="28" spans="1:8">
      <c r="A28" t="s">
        <v>1256</v>
      </c>
      <c r="B28" t="s">
        <v>1257</v>
      </c>
      <c r="C28" s="313">
        <v>814960</v>
      </c>
      <c r="D28" s="313">
        <v>0</v>
      </c>
      <c r="E28" t="s">
        <v>1582</v>
      </c>
      <c r="F28" t="s">
        <v>1582</v>
      </c>
      <c r="G28" s="313">
        <v>0</v>
      </c>
      <c r="H28" s="313">
        <v>0</v>
      </c>
    </row>
    <row r="29" spans="1:8">
      <c r="A29" t="s">
        <v>582</v>
      </c>
      <c r="B29" t="s">
        <v>1258</v>
      </c>
      <c r="C29" s="313">
        <v>-380928</v>
      </c>
      <c r="D29" s="313">
        <v>0</v>
      </c>
      <c r="E29" t="s">
        <v>1582</v>
      </c>
      <c r="F29" t="s">
        <v>1582</v>
      </c>
      <c r="G29" s="313">
        <v>0</v>
      </c>
      <c r="H29" s="313">
        <v>0</v>
      </c>
    </row>
    <row r="30" spans="1:8">
      <c r="A30" t="s">
        <v>1260</v>
      </c>
      <c r="B30" t="s">
        <v>1261</v>
      </c>
      <c r="C30" s="313">
        <v>2212971</v>
      </c>
      <c r="D30" s="313">
        <v>0</v>
      </c>
      <c r="E30" t="s">
        <v>1582</v>
      </c>
      <c r="F30" t="s">
        <v>1582</v>
      </c>
      <c r="G30" s="313">
        <v>0</v>
      </c>
      <c r="H30" s="313">
        <v>0</v>
      </c>
    </row>
    <row r="31" spans="1:8">
      <c r="A31" t="s">
        <v>594</v>
      </c>
      <c r="B31" t="s">
        <v>1262</v>
      </c>
      <c r="C31" s="313">
        <v>-673364</v>
      </c>
      <c r="D31" s="313">
        <v>0</v>
      </c>
      <c r="E31" t="s">
        <v>1582</v>
      </c>
      <c r="F31" t="s">
        <v>1582</v>
      </c>
      <c r="G31" s="313">
        <v>0</v>
      </c>
      <c r="H31" s="313">
        <v>0</v>
      </c>
    </row>
    <row r="32" spans="1:8">
      <c r="A32" t="s">
        <v>1263</v>
      </c>
      <c r="B32" t="s">
        <v>178</v>
      </c>
      <c r="C32" s="313">
        <v>479288</v>
      </c>
      <c r="D32" s="313">
        <v>0</v>
      </c>
      <c r="E32" t="s">
        <v>1582</v>
      </c>
      <c r="F32" t="s">
        <v>1582</v>
      </c>
      <c r="G32" s="313">
        <v>0</v>
      </c>
      <c r="H32" s="313">
        <v>0</v>
      </c>
    </row>
    <row r="33" spans="1:8">
      <c r="A33" t="s">
        <v>1264</v>
      </c>
      <c r="B33" t="s">
        <v>1265</v>
      </c>
      <c r="C33" s="313">
        <v>-234570</v>
      </c>
      <c r="D33" s="313">
        <v>0</v>
      </c>
      <c r="E33" t="s">
        <v>1582</v>
      </c>
      <c r="F33" t="s">
        <v>1582</v>
      </c>
      <c r="G33" s="313">
        <v>0</v>
      </c>
      <c r="H33" s="313">
        <v>0</v>
      </c>
    </row>
    <row r="34" spans="1:8">
      <c r="A34" t="s">
        <v>1280</v>
      </c>
      <c r="B34" t="s">
        <v>1281</v>
      </c>
      <c r="C34" s="313">
        <v>22737368</v>
      </c>
      <c r="D34" s="313">
        <v>0</v>
      </c>
      <c r="E34" t="s">
        <v>1582</v>
      </c>
      <c r="F34" t="s">
        <v>1582</v>
      </c>
      <c r="G34" s="313">
        <v>0</v>
      </c>
      <c r="H34" s="313">
        <v>0</v>
      </c>
    </row>
    <row r="35" spans="1:8">
      <c r="A35" t="s">
        <v>1282</v>
      </c>
      <c r="B35" t="s">
        <v>121</v>
      </c>
      <c r="C35" s="313">
        <v>16825600</v>
      </c>
      <c r="D35" s="313">
        <v>0</v>
      </c>
      <c r="E35" t="s">
        <v>1582</v>
      </c>
      <c r="F35" t="s">
        <v>1582</v>
      </c>
      <c r="G35" s="313">
        <v>0</v>
      </c>
      <c r="H35" s="313">
        <v>0</v>
      </c>
    </row>
    <row r="36" spans="1:8">
      <c r="A36" t="s">
        <v>1284</v>
      </c>
      <c r="B36" t="s">
        <v>180</v>
      </c>
      <c r="C36" s="313">
        <v>1596848</v>
      </c>
      <c r="D36" s="313">
        <v>0</v>
      </c>
      <c r="E36" t="s">
        <v>1582</v>
      </c>
      <c r="F36" t="s">
        <v>1582</v>
      </c>
      <c r="G36" s="313">
        <v>0</v>
      </c>
      <c r="H36" s="313">
        <v>0</v>
      </c>
    </row>
    <row r="37" spans="1:8">
      <c r="A37" t="s">
        <v>1285</v>
      </c>
      <c r="B37" t="s">
        <v>92</v>
      </c>
      <c r="C37" s="313">
        <v>4314920</v>
      </c>
      <c r="D37" s="313">
        <v>0</v>
      </c>
      <c r="E37" t="s">
        <v>1582</v>
      </c>
      <c r="F37" t="s">
        <v>1582</v>
      </c>
      <c r="G37" s="313">
        <v>0</v>
      </c>
      <c r="H37" s="313">
        <v>0</v>
      </c>
    </row>
    <row r="38" spans="1:8">
      <c r="A38" t="s">
        <v>1582</v>
      </c>
      <c r="B38" t="s">
        <v>1582</v>
      </c>
      <c r="C38" s="313">
        <v>0</v>
      </c>
      <c r="D38" s="313">
        <v>0</v>
      </c>
      <c r="E38" t="s">
        <v>1582</v>
      </c>
      <c r="F38" t="s">
        <v>1582</v>
      </c>
      <c r="G38" s="313">
        <v>0</v>
      </c>
      <c r="H38" s="313">
        <v>0</v>
      </c>
    </row>
    <row r="39" spans="1:8">
      <c r="A39" t="s">
        <v>1177</v>
      </c>
      <c r="B39" t="s">
        <v>1178</v>
      </c>
      <c r="C39" s="313">
        <v>0</v>
      </c>
      <c r="D39" s="313">
        <v>105547769</v>
      </c>
      <c r="E39" t="s">
        <v>1575</v>
      </c>
      <c r="F39" t="s">
        <v>1576</v>
      </c>
      <c r="G39" s="313">
        <v>0</v>
      </c>
      <c r="H39" s="313">
        <v>105547769</v>
      </c>
    </row>
  </sheetData>
  <phoneticPr fontId="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C59C6-2BCD-4FF3-BA96-F0B1A588265D}">
  <sheetPr>
    <tabColor rgb="FFFFFF00"/>
  </sheetPr>
  <dimension ref="A1:E74"/>
  <sheetViews>
    <sheetView topLeftCell="A61" workbookViewId="0">
      <selection activeCell="G24" sqref="G24"/>
    </sheetView>
  </sheetViews>
  <sheetFormatPr defaultRowHeight="16.5"/>
  <cols>
    <col min="1" max="1" width="9.5" style="312" bestFit="1" customWidth="1"/>
    <col min="2" max="2" width="32.875" style="312" bestFit="1" customWidth="1"/>
    <col min="3" max="4" width="15" style="313" bestFit="1" customWidth="1"/>
    <col min="5" max="5" width="7.5" style="312" bestFit="1" customWidth="1"/>
  </cols>
  <sheetData>
    <row r="1" spans="1:5">
      <c r="A1" s="312" t="s">
        <v>1596</v>
      </c>
      <c r="B1" s="312" t="s">
        <v>1597</v>
      </c>
      <c r="C1" s="313" t="s">
        <v>1598</v>
      </c>
      <c r="D1" s="313" t="s">
        <v>1599</v>
      </c>
      <c r="E1" s="312" t="s">
        <v>1600</v>
      </c>
    </row>
    <row r="2" spans="1:5">
      <c r="A2" s="312" t="s">
        <v>1389</v>
      </c>
      <c r="B2" s="312" t="s">
        <v>1601</v>
      </c>
      <c r="C2" s="313">
        <v>0</v>
      </c>
      <c r="D2" s="313">
        <v>52599315</v>
      </c>
      <c r="E2" s="312">
        <v>100</v>
      </c>
    </row>
    <row r="3" spans="1:5">
      <c r="A3" s="312" t="s">
        <v>1390</v>
      </c>
      <c r="B3" s="312" t="s">
        <v>1602</v>
      </c>
      <c r="C3" s="313">
        <v>53353003</v>
      </c>
      <c r="D3" s="313">
        <v>0</v>
      </c>
      <c r="E3" s="312">
        <v>101.43</v>
      </c>
    </row>
    <row r="4" spans="1:5">
      <c r="A4" s="312" t="s">
        <v>1391</v>
      </c>
      <c r="B4" s="312" t="s">
        <v>1603</v>
      </c>
      <c r="C4" s="313">
        <v>53353003</v>
      </c>
      <c r="D4" s="313">
        <v>0</v>
      </c>
      <c r="E4" s="312">
        <v>101.43</v>
      </c>
    </row>
    <row r="5" spans="1:5">
      <c r="A5" s="312" t="s">
        <v>1398</v>
      </c>
      <c r="B5" s="312" t="s">
        <v>1604</v>
      </c>
      <c r="C5" s="313">
        <v>-753688</v>
      </c>
      <c r="D5" s="313">
        <v>0</v>
      </c>
      <c r="E5" s="312">
        <v>-1.43</v>
      </c>
    </row>
    <row r="6" spans="1:5">
      <c r="A6" s="312" t="s">
        <v>1582</v>
      </c>
      <c r="B6" s="312" t="s">
        <v>1601</v>
      </c>
      <c r="C6" s="313">
        <v>0</v>
      </c>
      <c r="D6" s="313">
        <v>52599315</v>
      </c>
      <c r="E6" s="312">
        <v>100</v>
      </c>
    </row>
    <row r="7" spans="1:5">
      <c r="A7" s="312" t="s">
        <v>1492</v>
      </c>
      <c r="B7" s="312" t="s">
        <v>1605</v>
      </c>
      <c r="C7" s="313">
        <v>0</v>
      </c>
      <c r="D7" s="313">
        <v>33039914</v>
      </c>
      <c r="E7" s="312">
        <v>62.81</v>
      </c>
    </row>
    <row r="8" spans="1:5">
      <c r="A8" s="312" t="s">
        <v>1399</v>
      </c>
      <c r="B8" s="312" t="s">
        <v>1606</v>
      </c>
      <c r="C8" s="313">
        <v>0</v>
      </c>
      <c r="D8" s="313">
        <v>0</v>
      </c>
      <c r="E8" s="312">
        <v>0</v>
      </c>
    </row>
    <row r="9" spans="1:5">
      <c r="A9" s="312" t="s">
        <v>1408</v>
      </c>
      <c r="B9" s="312" t="s">
        <v>1607</v>
      </c>
      <c r="C9" s="313">
        <v>9063511</v>
      </c>
      <c r="D9" s="313">
        <v>0</v>
      </c>
      <c r="E9" s="312">
        <v>17.23</v>
      </c>
    </row>
    <row r="10" spans="1:5">
      <c r="A10" s="312" t="s">
        <v>1409</v>
      </c>
      <c r="B10" s="312" t="s">
        <v>1645</v>
      </c>
      <c r="C10" s="313">
        <v>2450275</v>
      </c>
      <c r="D10" s="313">
        <v>0</v>
      </c>
      <c r="E10" s="312">
        <v>4.6500000000000004</v>
      </c>
    </row>
    <row r="11" spans="1:5">
      <c r="A11" s="312" t="s">
        <v>1410</v>
      </c>
      <c r="B11" s="312" t="s">
        <v>1646</v>
      </c>
      <c r="C11" s="313">
        <v>9574501</v>
      </c>
      <c r="D11" s="313">
        <v>0</v>
      </c>
      <c r="E11" s="312">
        <v>18.2</v>
      </c>
    </row>
    <row r="12" spans="1:5">
      <c r="A12" s="312" t="s">
        <v>1411</v>
      </c>
      <c r="B12" s="312" t="s">
        <v>1608</v>
      </c>
      <c r="C12" s="313">
        <v>9574501</v>
      </c>
      <c r="D12" s="313">
        <v>0</v>
      </c>
      <c r="E12" s="312">
        <v>18.2</v>
      </c>
    </row>
    <row r="13" spans="1:5">
      <c r="A13" s="312" t="s">
        <v>1414</v>
      </c>
      <c r="B13" s="312" t="s">
        <v>1647</v>
      </c>
      <c r="C13" s="313">
        <v>-2961265</v>
      </c>
      <c r="D13" s="313">
        <v>0</v>
      </c>
      <c r="E13" s="312">
        <v>-5.63</v>
      </c>
    </row>
    <row r="14" spans="1:5">
      <c r="A14" s="312" t="s">
        <v>1426</v>
      </c>
      <c r="B14" s="312" t="s">
        <v>1609</v>
      </c>
      <c r="C14" s="313">
        <v>7014248</v>
      </c>
      <c r="D14" s="313">
        <v>0</v>
      </c>
      <c r="E14" s="312">
        <v>13.33</v>
      </c>
    </row>
    <row r="15" spans="1:5">
      <c r="A15" s="312" t="s">
        <v>1427</v>
      </c>
      <c r="B15" s="312" t="s">
        <v>1648</v>
      </c>
      <c r="C15" s="313">
        <v>1242398</v>
      </c>
      <c r="D15" s="313">
        <v>0</v>
      </c>
      <c r="E15" s="312">
        <v>2.36</v>
      </c>
    </row>
    <row r="16" spans="1:5">
      <c r="A16" s="312" t="s">
        <v>1428</v>
      </c>
      <c r="B16" s="312" t="s">
        <v>1649</v>
      </c>
      <c r="C16" s="313">
        <v>15719757</v>
      </c>
      <c r="D16" s="313">
        <v>0</v>
      </c>
      <c r="E16" s="312">
        <v>29.88</v>
      </c>
    </row>
    <row r="17" spans="1:5">
      <c r="A17" s="312" t="s">
        <v>1429</v>
      </c>
      <c r="B17" s="312" t="s">
        <v>1650</v>
      </c>
      <c r="C17" s="313">
        <v>875429</v>
      </c>
      <c r="D17" s="313">
        <v>0</v>
      </c>
      <c r="E17" s="312">
        <v>1.66</v>
      </c>
    </row>
    <row r="18" spans="1:5">
      <c r="A18" s="312" t="s">
        <v>1430</v>
      </c>
      <c r="B18" s="312" t="s">
        <v>1651</v>
      </c>
      <c r="C18" s="313">
        <v>132871</v>
      </c>
      <c r="D18" s="313">
        <v>0</v>
      </c>
      <c r="E18" s="312">
        <v>0.25</v>
      </c>
    </row>
    <row r="19" spans="1:5">
      <c r="A19" s="312" t="s">
        <v>1432</v>
      </c>
      <c r="B19" s="312" t="s">
        <v>1652</v>
      </c>
      <c r="C19" s="313">
        <v>420</v>
      </c>
      <c r="D19" s="313">
        <v>0</v>
      </c>
      <c r="E19" s="312">
        <v>0</v>
      </c>
    </row>
    <row r="20" spans="1:5">
      <c r="A20" s="312" t="s">
        <v>1433</v>
      </c>
      <c r="B20" s="312" t="s">
        <v>1653</v>
      </c>
      <c r="C20" s="313">
        <v>11178</v>
      </c>
      <c r="D20" s="313">
        <v>0</v>
      </c>
      <c r="E20" s="312">
        <v>0.02</v>
      </c>
    </row>
    <row r="21" spans="1:5">
      <c r="A21" s="312" t="s">
        <v>1434</v>
      </c>
      <c r="B21" s="312" t="s">
        <v>1654</v>
      </c>
      <c r="C21" s="313">
        <v>491</v>
      </c>
      <c r="D21" s="313">
        <v>0</v>
      </c>
      <c r="E21" s="312">
        <v>0</v>
      </c>
    </row>
    <row r="22" spans="1:5">
      <c r="A22" s="312" t="s">
        <v>1436</v>
      </c>
      <c r="B22" s="312" t="s">
        <v>1655</v>
      </c>
      <c r="C22" s="313">
        <v>581081</v>
      </c>
      <c r="D22" s="313">
        <v>0</v>
      </c>
      <c r="E22" s="312">
        <v>1.1000000000000001</v>
      </c>
    </row>
    <row r="23" spans="1:5">
      <c r="A23" s="312" t="s">
        <v>1437</v>
      </c>
      <c r="B23" s="312" t="s">
        <v>1656</v>
      </c>
      <c r="C23" s="313">
        <v>195841</v>
      </c>
      <c r="D23" s="313">
        <v>0</v>
      </c>
      <c r="E23" s="312">
        <v>0.37</v>
      </c>
    </row>
    <row r="24" spans="1:5">
      <c r="A24" s="312" t="s">
        <v>1438</v>
      </c>
      <c r="B24" s="312" t="s">
        <v>1657</v>
      </c>
      <c r="C24" s="313">
        <v>4280124</v>
      </c>
      <c r="D24" s="313">
        <v>0</v>
      </c>
      <c r="E24" s="312">
        <v>8.1300000000000008</v>
      </c>
    </row>
    <row r="25" spans="1:5">
      <c r="A25" s="312" t="s">
        <v>1439</v>
      </c>
      <c r="B25" s="312" t="s">
        <v>1658</v>
      </c>
      <c r="C25" s="313">
        <v>1038677</v>
      </c>
      <c r="D25" s="313">
        <v>0</v>
      </c>
      <c r="E25" s="312">
        <v>1.97</v>
      </c>
    </row>
    <row r="26" spans="1:5">
      <c r="A26" s="312" t="s">
        <v>1440</v>
      </c>
      <c r="B26" s="312" t="s">
        <v>1659</v>
      </c>
      <c r="C26" s="313">
        <v>866589</v>
      </c>
      <c r="D26" s="313">
        <v>0</v>
      </c>
      <c r="E26" s="312">
        <v>1.64</v>
      </c>
    </row>
    <row r="27" spans="1:5">
      <c r="A27" s="312" t="s">
        <v>1442</v>
      </c>
      <c r="B27" s="312" t="s">
        <v>1660</v>
      </c>
      <c r="C27" s="313">
        <v>2945943</v>
      </c>
      <c r="D27" s="313">
        <v>0</v>
      </c>
      <c r="E27" s="312">
        <v>5.6</v>
      </c>
    </row>
    <row r="28" spans="1:5">
      <c r="A28" s="312" t="s">
        <v>1443</v>
      </c>
      <c r="B28" s="312" t="s">
        <v>1661</v>
      </c>
      <c r="C28" s="313">
        <v>15876</v>
      </c>
      <c r="D28" s="313">
        <v>0</v>
      </c>
      <c r="E28" s="312">
        <v>0.03</v>
      </c>
    </row>
    <row r="29" spans="1:5">
      <c r="A29" s="312" t="s">
        <v>1444</v>
      </c>
      <c r="B29" s="312" t="s">
        <v>1662</v>
      </c>
      <c r="C29" s="313">
        <v>390117</v>
      </c>
      <c r="D29" s="313">
        <v>0</v>
      </c>
      <c r="E29" s="312">
        <v>0.74</v>
      </c>
    </row>
    <row r="30" spans="1:5">
      <c r="A30" s="312" t="s">
        <v>1445</v>
      </c>
      <c r="B30" s="312" t="s">
        <v>1663</v>
      </c>
      <c r="C30" s="313">
        <v>37445</v>
      </c>
      <c r="D30" s="313">
        <v>0</v>
      </c>
      <c r="E30" s="312">
        <v>7.0000000000000007E-2</v>
      </c>
    </row>
    <row r="31" spans="1:5">
      <c r="A31" s="312" t="s">
        <v>1446</v>
      </c>
      <c r="B31" s="312" t="s">
        <v>1664</v>
      </c>
      <c r="C31" s="313">
        <v>2838518</v>
      </c>
      <c r="D31" s="313">
        <v>0</v>
      </c>
      <c r="E31" s="312">
        <v>5.39</v>
      </c>
    </row>
    <row r="32" spans="1:5">
      <c r="A32" s="312" t="s">
        <v>1448</v>
      </c>
      <c r="B32" s="312" t="s">
        <v>1665</v>
      </c>
      <c r="C32" s="313">
        <v>377481</v>
      </c>
      <c r="D32" s="313">
        <v>0</v>
      </c>
      <c r="E32" s="312">
        <v>0.71</v>
      </c>
    </row>
    <row r="33" spans="1:5">
      <c r="A33" s="312" t="s">
        <v>1452</v>
      </c>
      <c r="B33" s="312" t="s">
        <v>1666</v>
      </c>
      <c r="C33" s="313">
        <v>159998</v>
      </c>
      <c r="D33" s="313">
        <v>0</v>
      </c>
      <c r="E33" s="312">
        <v>0.3</v>
      </c>
    </row>
    <row r="34" spans="1:5">
      <c r="A34" s="312" t="s">
        <v>1464</v>
      </c>
      <c r="B34" s="312" t="s">
        <v>1667</v>
      </c>
      <c r="C34" s="313">
        <v>1000</v>
      </c>
      <c r="D34" s="313">
        <v>0</v>
      </c>
      <c r="E34" s="312">
        <v>0</v>
      </c>
    </row>
    <row r="35" spans="1:5">
      <c r="A35" s="312" t="s">
        <v>1467</v>
      </c>
      <c r="B35" s="312" t="s">
        <v>1668</v>
      </c>
      <c r="C35" s="313">
        <v>307117</v>
      </c>
      <c r="D35" s="313">
        <v>0</v>
      </c>
      <c r="E35" s="312">
        <v>0.57999999999999996</v>
      </c>
    </row>
    <row r="36" spans="1:5">
      <c r="A36" s="312" t="s">
        <v>1468</v>
      </c>
      <c r="B36" s="312" t="s">
        <v>1669</v>
      </c>
      <c r="C36" s="313">
        <v>657161</v>
      </c>
      <c r="D36" s="313">
        <v>0</v>
      </c>
      <c r="E36" s="312">
        <v>1.24</v>
      </c>
    </row>
    <row r="37" spans="1:5">
      <c r="A37" s="312" t="s">
        <v>1469</v>
      </c>
      <c r="B37" s="312" t="s">
        <v>1670</v>
      </c>
      <c r="C37" s="313">
        <v>3600</v>
      </c>
      <c r="D37" s="313">
        <v>0</v>
      </c>
      <c r="E37" s="312">
        <v>0</v>
      </c>
    </row>
    <row r="38" spans="1:5">
      <c r="A38" s="312" t="s">
        <v>1472</v>
      </c>
      <c r="B38" s="312" t="s">
        <v>1671</v>
      </c>
      <c r="C38" s="313">
        <v>2800</v>
      </c>
      <c r="D38" s="313">
        <v>0</v>
      </c>
      <c r="E38" s="312">
        <v>0</v>
      </c>
    </row>
    <row r="39" spans="1:5">
      <c r="A39" s="312" t="s">
        <v>1474</v>
      </c>
      <c r="B39" s="312" t="s">
        <v>1610</v>
      </c>
      <c r="C39" s="313">
        <v>33039914</v>
      </c>
      <c r="D39" s="313">
        <v>0</v>
      </c>
      <c r="E39" s="312">
        <v>62.81</v>
      </c>
    </row>
    <row r="40" spans="1:5">
      <c r="A40" s="312" t="s">
        <v>1479</v>
      </c>
      <c r="B40" s="312" t="s">
        <v>1611</v>
      </c>
      <c r="C40" s="313">
        <v>33039914</v>
      </c>
      <c r="D40" s="313">
        <v>0</v>
      </c>
      <c r="E40" s="312">
        <v>62.81</v>
      </c>
    </row>
    <row r="41" spans="1:5">
      <c r="A41" s="312" t="s">
        <v>1486</v>
      </c>
      <c r="B41" s="312" t="s">
        <v>1612</v>
      </c>
      <c r="C41" s="313">
        <v>33039914</v>
      </c>
      <c r="D41" s="313">
        <v>0</v>
      </c>
      <c r="E41" s="312">
        <v>62.81</v>
      </c>
    </row>
    <row r="42" spans="1:5">
      <c r="A42" s="312" t="s">
        <v>1582</v>
      </c>
      <c r="B42" s="312" t="s">
        <v>1613</v>
      </c>
      <c r="C42" s="313">
        <v>0</v>
      </c>
      <c r="D42" s="313">
        <v>19559401</v>
      </c>
      <c r="E42" s="312">
        <v>37.18</v>
      </c>
    </row>
    <row r="43" spans="1:5">
      <c r="A43" s="312" t="s">
        <v>1493</v>
      </c>
      <c r="B43" s="312" t="s">
        <v>1614</v>
      </c>
      <c r="C43" s="313">
        <v>0</v>
      </c>
      <c r="D43" s="313">
        <v>19136173</v>
      </c>
      <c r="E43" s="312">
        <v>36.380000000000003</v>
      </c>
    </row>
    <row r="44" spans="1:5">
      <c r="A44" s="312" t="s">
        <v>1494</v>
      </c>
      <c r="B44" s="312" t="s">
        <v>1615</v>
      </c>
      <c r="C44" s="313">
        <v>9433488</v>
      </c>
      <c r="D44" s="313">
        <v>0</v>
      </c>
      <c r="E44" s="312">
        <v>17.93</v>
      </c>
    </row>
    <row r="45" spans="1:5">
      <c r="A45" s="312" t="s">
        <v>1495</v>
      </c>
      <c r="B45" s="312" t="s">
        <v>1672</v>
      </c>
      <c r="C45" s="313">
        <v>676758</v>
      </c>
      <c r="D45" s="313">
        <v>0</v>
      </c>
      <c r="E45" s="312">
        <v>1.28</v>
      </c>
    </row>
    <row r="46" spans="1:5">
      <c r="A46" s="312" t="s">
        <v>1496</v>
      </c>
      <c r="B46" s="312" t="s">
        <v>1616</v>
      </c>
      <c r="C46" s="313">
        <v>1311571</v>
      </c>
      <c r="D46" s="313">
        <v>0</v>
      </c>
      <c r="E46" s="312">
        <v>2.4900000000000002</v>
      </c>
    </row>
    <row r="47" spans="1:5">
      <c r="A47" s="312" t="s">
        <v>1497</v>
      </c>
      <c r="B47" s="312" t="s">
        <v>1617</v>
      </c>
      <c r="C47" s="313">
        <v>69020</v>
      </c>
      <c r="D47" s="313">
        <v>0</v>
      </c>
      <c r="E47" s="312">
        <v>0.13</v>
      </c>
    </row>
    <row r="48" spans="1:5">
      <c r="A48" s="312" t="s">
        <v>1498</v>
      </c>
      <c r="B48" s="312" t="s">
        <v>1618</v>
      </c>
      <c r="C48" s="313">
        <v>37989</v>
      </c>
      <c r="D48" s="313">
        <v>0</v>
      </c>
      <c r="E48" s="312">
        <v>7.0000000000000007E-2</v>
      </c>
    </row>
    <row r="49" spans="1:5">
      <c r="A49" s="312" t="s">
        <v>1499</v>
      </c>
      <c r="B49" s="312" t="s">
        <v>1619</v>
      </c>
      <c r="C49" s="313">
        <v>1527347</v>
      </c>
      <c r="D49" s="313">
        <v>0</v>
      </c>
      <c r="E49" s="312">
        <v>2.9</v>
      </c>
    </row>
    <row r="50" spans="1:5">
      <c r="A50" s="312" t="s">
        <v>1500</v>
      </c>
      <c r="B50" s="312" t="s">
        <v>1620</v>
      </c>
      <c r="C50" s="313">
        <v>217644</v>
      </c>
      <c r="D50" s="313">
        <v>0</v>
      </c>
      <c r="E50" s="312">
        <v>0.41</v>
      </c>
    </row>
    <row r="51" spans="1:5">
      <c r="A51" s="312" t="s">
        <v>1501</v>
      </c>
      <c r="B51" s="312" t="s">
        <v>1621</v>
      </c>
      <c r="C51" s="313">
        <v>568710</v>
      </c>
      <c r="D51" s="313">
        <v>0</v>
      </c>
      <c r="E51" s="312">
        <v>1.08</v>
      </c>
    </row>
    <row r="52" spans="1:5">
      <c r="A52" s="312" t="s">
        <v>1502</v>
      </c>
      <c r="B52" s="312" t="s">
        <v>1622</v>
      </c>
      <c r="C52" s="313">
        <v>64257</v>
      </c>
      <c r="D52" s="313">
        <v>0</v>
      </c>
      <c r="E52" s="312">
        <v>0.12</v>
      </c>
    </row>
    <row r="53" spans="1:5">
      <c r="A53" s="312" t="s">
        <v>1504</v>
      </c>
      <c r="B53" s="312" t="s">
        <v>1623</v>
      </c>
      <c r="C53" s="313">
        <v>1105338</v>
      </c>
      <c r="D53" s="313">
        <v>0</v>
      </c>
      <c r="E53" s="312">
        <v>2.1</v>
      </c>
    </row>
    <row r="54" spans="1:5">
      <c r="A54" s="312" t="s">
        <v>1506</v>
      </c>
      <c r="B54" s="312" t="s">
        <v>1624</v>
      </c>
      <c r="C54" s="313">
        <v>25057</v>
      </c>
      <c r="D54" s="313">
        <v>0</v>
      </c>
      <c r="E54" s="312">
        <v>0.04</v>
      </c>
    </row>
    <row r="55" spans="1:5">
      <c r="A55" s="312" t="s">
        <v>1508</v>
      </c>
      <c r="B55" s="312" t="s">
        <v>1625</v>
      </c>
      <c r="C55" s="313">
        <v>43679</v>
      </c>
      <c r="D55" s="313">
        <v>0</v>
      </c>
      <c r="E55" s="312">
        <v>0.08</v>
      </c>
    </row>
    <row r="56" spans="1:5">
      <c r="A56" s="312" t="s">
        <v>1510</v>
      </c>
      <c r="B56" s="312" t="s">
        <v>1626</v>
      </c>
      <c r="C56" s="313">
        <v>902651</v>
      </c>
      <c r="D56" s="313">
        <v>0</v>
      </c>
      <c r="E56" s="312">
        <v>1.71</v>
      </c>
    </row>
    <row r="57" spans="1:5">
      <c r="A57" s="312" t="s">
        <v>1511</v>
      </c>
      <c r="B57" s="312" t="s">
        <v>1627</v>
      </c>
      <c r="C57" s="313">
        <v>35231</v>
      </c>
      <c r="D57" s="313">
        <v>0</v>
      </c>
      <c r="E57" s="312">
        <v>0.06</v>
      </c>
    </row>
    <row r="58" spans="1:5">
      <c r="A58" s="312" t="s">
        <v>1513</v>
      </c>
      <c r="B58" s="312" t="s">
        <v>1628</v>
      </c>
      <c r="C58" s="313">
        <v>149444</v>
      </c>
      <c r="D58" s="313">
        <v>0</v>
      </c>
      <c r="E58" s="312">
        <v>0.28000000000000003</v>
      </c>
    </row>
    <row r="59" spans="1:5">
      <c r="A59" s="312" t="s">
        <v>1514</v>
      </c>
      <c r="B59" s="312" t="s">
        <v>1629</v>
      </c>
      <c r="C59" s="313">
        <v>42584</v>
      </c>
      <c r="D59" s="313">
        <v>0</v>
      </c>
      <c r="E59" s="312">
        <v>0.08</v>
      </c>
    </row>
    <row r="60" spans="1:5">
      <c r="A60" s="312" t="s">
        <v>1537</v>
      </c>
      <c r="B60" s="312" t="s">
        <v>1630</v>
      </c>
      <c r="C60" s="313">
        <v>33000</v>
      </c>
      <c r="D60" s="313">
        <v>0</v>
      </c>
      <c r="E60" s="312">
        <v>0.06</v>
      </c>
    </row>
    <row r="61" spans="1:5">
      <c r="A61" s="312" t="s">
        <v>1538</v>
      </c>
      <c r="B61" s="312" t="s">
        <v>1631</v>
      </c>
      <c r="C61" s="313">
        <v>2271632</v>
      </c>
      <c r="D61" s="313">
        <v>0</v>
      </c>
      <c r="E61" s="312">
        <v>4.3099999999999996</v>
      </c>
    </row>
    <row r="62" spans="1:5">
      <c r="A62" s="312" t="s">
        <v>1543</v>
      </c>
      <c r="B62" s="312" t="s">
        <v>1632</v>
      </c>
      <c r="C62" s="313">
        <v>92500</v>
      </c>
      <c r="D62" s="313">
        <v>0</v>
      </c>
      <c r="E62" s="312">
        <v>0.17</v>
      </c>
    </row>
    <row r="63" spans="1:5">
      <c r="A63" s="312" t="s">
        <v>1544</v>
      </c>
      <c r="B63" s="312" t="s">
        <v>1633</v>
      </c>
      <c r="C63" s="313">
        <v>353089</v>
      </c>
      <c r="D63" s="313">
        <v>0</v>
      </c>
      <c r="E63" s="312">
        <v>0.67</v>
      </c>
    </row>
    <row r="64" spans="1:5">
      <c r="A64" s="312" t="s">
        <v>1554</v>
      </c>
      <c r="B64" s="312" t="s">
        <v>1634</v>
      </c>
      <c r="C64" s="313">
        <v>175184</v>
      </c>
      <c r="D64" s="313">
        <v>0</v>
      </c>
      <c r="E64" s="312">
        <v>0.33</v>
      </c>
    </row>
    <row r="65" spans="1:5">
      <c r="A65" s="312" t="s">
        <v>1582</v>
      </c>
      <c r="B65" s="312" t="s">
        <v>1635</v>
      </c>
      <c r="C65" s="313">
        <v>0</v>
      </c>
      <c r="D65" s="313">
        <v>423228</v>
      </c>
      <c r="E65" s="312">
        <v>0.8</v>
      </c>
    </row>
    <row r="66" spans="1:5">
      <c r="A66" s="312" t="s">
        <v>1556</v>
      </c>
      <c r="B66" s="312" t="s">
        <v>1636</v>
      </c>
      <c r="C66" s="313">
        <v>0</v>
      </c>
      <c r="D66" s="313">
        <v>514722</v>
      </c>
      <c r="E66" s="312">
        <v>0.97</v>
      </c>
    </row>
    <row r="67" spans="1:5">
      <c r="A67" s="312" t="s">
        <v>1559</v>
      </c>
      <c r="B67" s="312" t="s">
        <v>1637</v>
      </c>
      <c r="C67" s="313">
        <v>160806</v>
      </c>
      <c r="D67" s="313">
        <v>0</v>
      </c>
      <c r="E67" s="312">
        <v>0.3</v>
      </c>
    </row>
    <row r="68" spans="1:5">
      <c r="A68" s="312" t="s">
        <v>1564</v>
      </c>
      <c r="B68" s="312" t="s">
        <v>1638</v>
      </c>
      <c r="C68" s="313">
        <v>328916</v>
      </c>
      <c r="D68" s="313">
        <v>0</v>
      </c>
      <c r="E68" s="312">
        <v>0.62</v>
      </c>
    </row>
    <row r="69" spans="1:5">
      <c r="A69" s="312" t="s">
        <v>1565</v>
      </c>
      <c r="B69" s="312" t="s">
        <v>1639</v>
      </c>
      <c r="C69" s="313">
        <v>25000</v>
      </c>
      <c r="D69" s="313">
        <v>0</v>
      </c>
      <c r="E69" s="312">
        <v>0.04</v>
      </c>
    </row>
    <row r="70" spans="1:5">
      <c r="A70" s="312" t="s">
        <v>1568</v>
      </c>
      <c r="B70" s="312" t="s">
        <v>1640</v>
      </c>
      <c r="C70" s="313">
        <v>0</v>
      </c>
      <c r="D70" s="313">
        <v>704142</v>
      </c>
      <c r="E70" s="312">
        <v>1.33</v>
      </c>
    </row>
    <row r="71" spans="1:5">
      <c r="A71" s="312" t="s">
        <v>1569</v>
      </c>
      <c r="B71" s="312" t="s">
        <v>1641</v>
      </c>
      <c r="C71" s="313">
        <v>704142</v>
      </c>
      <c r="D71" s="313">
        <v>0</v>
      </c>
      <c r="E71" s="312">
        <v>1.33</v>
      </c>
    </row>
    <row r="72" spans="1:5">
      <c r="A72" s="312" t="s">
        <v>1582</v>
      </c>
      <c r="B72" s="312" t="s">
        <v>1642</v>
      </c>
      <c r="C72" s="313">
        <v>0</v>
      </c>
      <c r="D72" s="313">
        <v>233808</v>
      </c>
      <c r="E72" s="312">
        <v>0.44</v>
      </c>
    </row>
    <row r="73" spans="1:5">
      <c r="A73" s="312" t="s">
        <v>1577</v>
      </c>
      <c r="B73" s="312" t="s">
        <v>1643</v>
      </c>
      <c r="C73" s="313">
        <v>46762</v>
      </c>
      <c r="D73" s="313">
        <v>0</v>
      </c>
      <c r="E73" s="312">
        <v>0.08</v>
      </c>
    </row>
    <row r="74" spans="1:5">
      <c r="A74" s="312" t="s">
        <v>1582</v>
      </c>
      <c r="B74" s="312" t="s">
        <v>1644</v>
      </c>
      <c r="C74" s="313">
        <v>0</v>
      </c>
      <c r="D74" s="313">
        <v>187046</v>
      </c>
      <c r="E74" s="312">
        <v>0</v>
      </c>
    </row>
  </sheetData>
  <phoneticPr fontId="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99"/>
  <sheetViews>
    <sheetView view="pageBreakPreview" zoomScale="118" zoomScaleNormal="100" zoomScaleSheetLayoutView="118" workbookViewId="0">
      <pane xSplit="3" ySplit="8" topLeftCell="D124" activePane="bottomRight" state="frozen"/>
      <selection pane="topRight" activeCell="C1" sqref="C1"/>
      <selection pane="bottomLeft" activeCell="A7" sqref="A7"/>
      <selection pane="bottomRight" activeCell="E182" sqref="E182"/>
    </sheetView>
  </sheetViews>
  <sheetFormatPr defaultColWidth="9" defaultRowHeight="21.95" customHeight="1" outlineLevelRow="2"/>
  <cols>
    <col min="1" max="1" width="49.5" style="61" hidden="1" customWidth="1"/>
    <col min="2" max="2" width="6.5" style="68" customWidth="1"/>
    <col min="3" max="3" width="5.75" style="68" customWidth="1"/>
    <col min="4" max="4" width="35.625" style="102" customWidth="1"/>
    <col min="5" max="6" width="12.5" style="62" customWidth="1"/>
    <col min="7" max="7" width="12.5" style="63" customWidth="1"/>
    <col min="8" max="8" width="12.5" style="62" customWidth="1"/>
    <col min="9" max="9" width="12.5" style="63" customWidth="1"/>
    <col min="10" max="16384" width="9" style="61"/>
  </cols>
  <sheetData>
    <row r="1" spans="1:10" ht="21.95" customHeight="1">
      <c r="B1" s="510" t="s">
        <v>242</v>
      </c>
      <c r="C1" s="510"/>
      <c r="D1" s="510"/>
    </row>
    <row r="2" spans="1:10" ht="21.95" customHeight="1">
      <c r="B2" s="511" t="s">
        <v>992</v>
      </c>
      <c r="C2" s="511"/>
      <c r="D2" s="511"/>
      <c r="E2" s="511"/>
      <c r="F2" s="511"/>
      <c r="G2" s="511"/>
      <c r="H2" s="511"/>
      <c r="I2" s="511"/>
    </row>
    <row r="3" spans="1:10" ht="21.95" customHeight="1">
      <c r="B3" s="511" t="s">
        <v>243</v>
      </c>
      <c r="C3" s="511"/>
      <c r="D3" s="511"/>
      <c r="E3" s="511"/>
      <c r="F3" s="511"/>
      <c r="G3" s="511"/>
      <c r="H3" s="511"/>
      <c r="I3" s="511"/>
    </row>
    <row r="4" spans="1:10" ht="21.95" customHeight="1">
      <c r="B4" s="64"/>
      <c r="C4" s="64"/>
      <c r="D4" s="65"/>
      <c r="E4" s="66" t="s">
        <v>244</v>
      </c>
      <c r="F4" s="66"/>
      <c r="G4" s="67"/>
      <c r="H4" s="66"/>
      <c r="I4" s="67"/>
    </row>
    <row r="5" spans="1:10" s="68" customFormat="1" ht="21.95" customHeight="1">
      <c r="B5" s="512" t="s">
        <v>245</v>
      </c>
      <c r="C5" s="512" t="s">
        <v>246</v>
      </c>
      <c r="D5" s="513" t="s">
        <v>247</v>
      </c>
      <c r="E5" s="514" t="s">
        <v>248</v>
      </c>
      <c r="F5" s="515"/>
      <c r="G5" s="515"/>
      <c r="H5" s="515"/>
      <c r="I5" s="516"/>
    </row>
    <row r="6" spans="1:10" s="68" customFormat="1" ht="18" customHeight="1">
      <c r="B6" s="512"/>
      <c r="C6" s="512"/>
      <c r="D6" s="513"/>
      <c r="E6" s="517" t="s">
        <v>249</v>
      </c>
      <c r="F6" s="517" t="s">
        <v>250</v>
      </c>
      <c r="G6" s="519" t="s">
        <v>251</v>
      </c>
      <c r="H6" s="508" t="s">
        <v>252</v>
      </c>
      <c r="I6" s="509"/>
    </row>
    <row r="7" spans="1:10" s="68" customFormat="1" ht="18" customHeight="1">
      <c r="B7" s="512"/>
      <c r="C7" s="512"/>
      <c r="D7" s="513"/>
      <c r="E7" s="518"/>
      <c r="F7" s="518"/>
      <c r="G7" s="520"/>
      <c r="H7" s="69" t="s">
        <v>253</v>
      </c>
      <c r="I7" s="70" t="s">
        <v>254</v>
      </c>
    </row>
    <row r="8" spans="1:10" s="68" customFormat="1" ht="18" customHeight="1">
      <c r="B8" s="512"/>
      <c r="C8" s="512"/>
      <c r="D8" s="513"/>
      <c r="E8" s="71" t="s">
        <v>255</v>
      </c>
      <c r="F8" s="71" t="s">
        <v>256</v>
      </c>
      <c r="G8" s="72" t="s">
        <v>257</v>
      </c>
      <c r="H8" s="71" t="s">
        <v>258</v>
      </c>
      <c r="I8" s="72" t="s">
        <v>259</v>
      </c>
      <c r="J8" s="68" t="s">
        <v>260</v>
      </c>
    </row>
    <row r="9" spans="1:10" ht="21.95" customHeight="1" outlineLevel="1">
      <c r="B9" s="73"/>
      <c r="C9" s="74"/>
      <c r="D9" s="75" t="s">
        <v>261</v>
      </c>
      <c r="E9" s="76"/>
      <c r="F9" s="76"/>
      <c r="G9" s="77"/>
      <c r="H9" s="76"/>
      <c r="I9" s="77"/>
      <c r="J9" s="61">
        <f>SUM(E9:I9)</f>
        <v>0</v>
      </c>
    </row>
    <row r="10" spans="1:10" ht="21.95" customHeight="1" outlineLevel="1">
      <c r="B10" s="73"/>
      <c r="C10" s="74"/>
      <c r="D10" s="78" t="s">
        <v>262</v>
      </c>
      <c r="E10" s="76"/>
      <c r="F10" s="76"/>
      <c r="G10" s="77"/>
      <c r="H10" s="76"/>
      <c r="I10" s="77"/>
      <c r="J10" s="61">
        <f t="shared" ref="J10:J73" si="0">SUM(E10:I10)</f>
        <v>0</v>
      </c>
    </row>
    <row r="11" spans="1:10" ht="21.95" customHeight="1" outlineLevel="2">
      <c r="A11" s="79" t="s">
        <v>263</v>
      </c>
      <c r="B11" s="73"/>
      <c r="C11" s="74" t="s">
        <v>264</v>
      </c>
      <c r="D11" s="80" t="s">
        <v>265</v>
      </c>
      <c r="E11" s="76">
        <v>1</v>
      </c>
      <c r="F11" s="76">
        <v>2</v>
      </c>
      <c r="G11" s="77">
        <v>3</v>
      </c>
      <c r="H11" s="76">
        <f>F11-E11</f>
        <v>1</v>
      </c>
      <c r="I11" s="77">
        <f>G11-F11</f>
        <v>1</v>
      </c>
      <c r="J11" s="61">
        <f t="shared" si="0"/>
        <v>8</v>
      </c>
    </row>
    <row r="12" spans="1:10" ht="21.95" customHeight="1" outlineLevel="2">
      <c r="A12" s="79" t="s">
        <v>263</v>
      </c>
      <c r="B12" s="73"/>
      <c r="C12" s="74" t="s">
        <v>266</v>
      </c>
      <c r="D12" s="80" t="s">
        <v>267</v>
      </c>
      <c r="E12" s="76">
        <v>1</v>
      </c>
      <c r="F12" s="76">
        <v>2</v>
      </c>
      <c r="G12" s="77">
        <v>3</v>
      </c>
      <c r="H12" s="76">
        <f t="shared" ref="H12:I15" si="1">F12-E12</f>
        <v>1</v>
      </c>
      <c r="I12" s="77">
        <f t="shared" si="1"/>
        <v>1</v>
      </c>
      <c r="J12" s="61">
        <f t="shared" si="0"/>
        <v>8</v>
      </c>
    </row>
    <row r="13" spans="1:10" ht="21.95" customHeight="1" outlineLevel="2">
      <c r="A13" s="79" t="s">
        <v>263</v>
      </c>
      <c r="B13" s="73"/>
      <c r="C13" s="74" t="s">
        <v>268</v>
      </c>
      <c r="D13" s="80" t="s">
        <v>269</v>
      </c>
      <c r="E13" s="76">
        <v>1</v>
      </c>
      <c r="F13" s="76">
        <v>2</v>
      </c>
      <c r="G13" s="77">
        <v>3</v>
      </c>
      <c r="H13" s="76">
        <f t="shared" si="1"/>
        <v>1</v>
      </c>
      <c r="I13" s="77">
        <f t="shared" si="1"/>
        <v>1</v>
      </c>
      <c r="J13" s="61">
        <f t="shared" si="0"/>
        <v>8</v>
      </c>
    </row>
    <row r="14" spans="1:10" ht="21.95" customHeight="1" outlineLevel="2">
      <c r="A14" s="79" t="s">
        <v>263</v>
      </c>
      <c r="B14" s="73"/>
      <c r="C14" s="74" t="s">
        <v>270</v>
      </c>
      <c r="D14" s="80" t="s">
        <v>271</v>
      </c>
      <c r="E14" s="76">
        <v>1</v>
      </c>
      <c r="F14" s="76">
        <v>2</v>
      </c>
      <c r="G14" s="77">
        <v>3</v>
      </c>
      <c r="H14" s="76">
        <f t="shared" si="1"/>
        <v>1</v>
      </c>
      <c r="I14" s="77">
        <f t="shared" si="1"/>
        <v>1</v>
      </c>
      <c r="J14" s="61">
        <f t="shared" si="0"/>
        <v>8</v>
      </c>
    </row>
    <row r="15" spans="1:10" ht="21.95" customHeight="1" outlineLevel="2">
      <c r="A15" s="79" t="s">
        <v>263</v>
      </c>
      <c r="B15" s="73"/>
      <c r="C15" s="74" t="s">
        <v>272</v>
      </c>
      <c r="D15" s="80" t="s">
        <v>273</v>
      </c>
      <c r="E15" s="76">
        <v>1</v>
      </c>
      <c r="F15" s="76">
        <v>2</v>
      </c>
      <c r="G15" s="77">
        <v>3</v>
      </c>
      <c r="H15" s="76">
        <f t="shared" si="1"/>
        <v>1</v>
      </c>
      <c r="I15" s="77">
        <f t="shared" si="1"/>
        <v>1</v>
      </c>
      <c r="J15" s="61">
        <f t="shared" si="0"/>
        <v>8</v>
      </c>
    </row>
    <row r="16" spans="1:10" s="87" customFormat="1" ht="21.95" customHeight="1" outlineLevel="1">
      <c r="A16" s="81" t="s">
        <v>274</v>
      </c>
      <c r="B16" s="82" t="s">
        <v>275</v>
      </c>
      <c r="C16" s="83"/>
      <c r="D16" s="84" t="s">
        <v>276</v>
      </c>
      <c r="E16" s="85">
        <f>SUBTOTAL(9,E11:E15)</f>
        <v>5</v>
      </c>
      <c r="F16" s="85">
        <f>SUBTOTAL(9,F11:F15)</f>
        <v>10</v>
      </c>
      <c r="G16" s="86">
        <f>SUBTOTAL(9,G11:G15)</f>
        <v>15</v>
      </c>
      <c r="H16" s="85">
        <f>SUBTOTAL(9,H11:H15)</f>
        <v>5</v>
      </c>
      <c r="I16" s="86">
        <f>SUBTOTAL(9,I11:I15)</f>
        <v>5</v>
      </c>
      <c r="J16" s="87">
        <f t="shared" si="0"/>
        <v>40</v>
      </c>
    </row>
    <row r="17" spans="1:10" ht="21.95" customHeight="1" outlineLevel="2">
      <c r="A17" s="79" t="s">
        <v>277</v>
      </c>
      <c r="B17" s="73"/>
      <c r="C17" s="88" t="s">
        <v>278</v>
      </c>
      <c r="D17" s="89" t="s">
        <v>279</v>
      </c>
      <c r="E17" s="90"/>
      <c r="F17" s="90"/>
      <c r="G17" s="91"/>
      <c r="H17" s="76">
        <f t="shared" ref="H17:I18" si="2">F17-E17</f>
        <v>0</v>
      </c>
      <c r="I17" s="77">
        <f t="shared" si="2"/>
        <v>0</v>
      </c>
      <c r="J17" s="61">
        <f t="shared" si="0"/>
        <v>0</v>
      </c>
    </row>
    <row r="18" spans="1:10" ht="21.95" customHeight="1" outlineLevel="2">
      <c r="A18" s="79" t="s">
        <v>277</v>
      </c>
      <c r="B18" s="73"/>
      <c r="C18" s="74" t="s">
        <v>280</v>
      </c>
      <c r="D18" s="80" t="s">
        <v>281</v>
      </c>
      <c r="E18" s="76"/>
      <c r="F18" s="76"/>
      <c r="G18" s="77"/>
      <c r="H18" s="76">
        <f t="shared" si="2"/>
        <v>0</v>
      </c>
      <c r="I18" s="77">
        <f t="shared" si="2"/>
        <v>0</v>
      </c>
      <c r="J18" s="61">
        <f t="shared" si="0"/>
        <v>0</v>
      </c>
    </row>
    <row r="19" spans="1:10" s="87" customFormat="1" ht="21.95" customHeight="1" outlineLevel="1">
      <c r="A19" s="81" t="s">
        <v>282</v>
      </c>
      <c r="B19" s="82" t="s">
        <v>283</v>
      </c>
      <c r="C19" s="83"/>
      <c r="D19" s="84" t="s">
        <v>284</v>
      </c>
      <c r="E19" s="85">
        <f>SUBTOTAL(9,E17:E18)</f>
        <v>0</v>
      </c>
      <c r="F19" s="85">
        <f>SUBTOTAL(9,F17:F18)</f>
        <v>0</v>
      </c>
      <c r="G19" s="86">
        <f>SUBTOTAL(9,G17:G18)</f>
        <v>0</v>
      </c>
      <c r="H19" s="85">
        <f>SUBTOTAL(9,H17:H18)</f>
        <v>0</v>
      </c>
      <c r="I19" s="86">
        <f>SUBTOTAL(9,I17:I18)</f>
        <v>0</v>
      </c>
      <c r="J19" s="87">
        <f t="shared" si="0"/>
        <v>0</v>
      </c>
    </row>
    <row r="20" spans="1:10" ht="21.95" customHeight="1" outlineLevel="2">
      <c r="A20" s="79" t="s">
        <v>285</v>
      </c>
      <c r="B20" s="73"/>
      <c r="C20" s="74" t="s">
        <v>286</v>
      </c>
      <c r="D20" s="80" t="s">
        <v>287</v>
      </c>
      <c r="E20" s="76"/>
      <c r="F20" s="76"/>
      <c r="G20" s="77"/>
      <c r="H20" s="76">
        <f t="shared" ref="H20:I22" si="3">F20-E20</f>
        <v>0</v>
      </c>
      <c r="I20" s="77">
        <f t="shared" si="3"/>
        <v>0</v>
      </c>
      <c r="J20" s="87">
        <f t="shared" si="0"/>
        <v>0</v>
      </c>
    </row>
    <row r="21" spans="1:10" ht="21.95" customHeight="1" outlineLevel="2">
      <c r="A21" s="79" t="s">
        <v>285</v>
      </c>
      <c r="B21" s="73"/>
      <c r="C21" s="74" t="s">
        <v>288</v>
      </c>
      <c r="D21" s="80" t="s">
        <v>289</v>
      </c>
      <c r="E21" s="76"/>
      <c r="F21" s="76"/>
      <c r="G21" s="77"/>
      <c r="H21" s="76">
        <f t="shared" si="3"/>
        <v>0</v>
      </c>
      <c r="I21" s="77">
        <f t="shared" si="3"/>
        <v>0</v>
      </c>
      <c r="J21" s="87">
        <f t="shared" si="0"/>
        <v>0</v>
      </c>
    </row>
    <row r="22" spans="1:10" ht="21.95" customHeight="1" outlineLevel="2">
      <c r="A22" s="79" t="s">
        <v>285</v>
      </c>
      <c r="B22" s="73"/>
      <c r="C22" s="74" t="s">
        <v>290</v>
      </c>
      <c r="D22" s="80" t="s">
        <v>291</v>
      </c>
      <c r="E22" s="76"/>
      <c r="F22" s="76"/>
      <c r="G22" s="77"/>
      <c r="H22" s="76">
        <f t="shared" si="3"/>
        <v>0</v>
      </c>
      <c r="I22" s="77">
        <f t="shared" si="3"/>
        <v>0</v>
      </c>
      <c r="J22" s="87">
        <f t="shared" si="0"/>
        <v>0</v>
      </c>
    </row>
    <row r="23" spans="1:10" s="87" customFormat="1" ht="21.95" customHeight="1" outlineLevel="1">
      <c r="A23" s="81" t="s">
        <v>292</v>
      </c>
      <c r="B23" s="82" t="s">
        <v>293</v>
      </c>
      <c r="C23" s="83"/>
      <c r="D23" s="84" t="s">
        <v>294</v>
      </c>
      <c r="E23" s="85">
        <f>SUBTOTAL(9,E20:E22)</f>
        <v>0</v>
      </c>
      <c r="F23" s="85">
        <f>SUBTOTAL(9,F20:F22)</f>
        <v>0</v>
      </c>
      <c r="G23" s="86">
        <f>SUBTOTAL(9,G20:G22)</f>
        <v>0</v>
      </c>
      <c r="H23" s="85">
        <f>SUBTOTAL(9,H20:H22)</f>
        <v>0</v>
      </c>
      <c r="I23" s="86">
        <f>SUBTOTAL(9,I20:I22)</f>
        <v>0</v>
      </c>
      <c r="J23" s="87">
        <f t="shared" si="0"/>
        <v>0</v>
      </c>
    </row>
    <row r="24" spans="1:10" ht="21.95" customHeight="1" outlineLevel="2">
      <c r="A24" s="79" t="s">
        <v>295</v>
      </c>
      <c r="B24" s="73"/>
      <c r="C24" s="74" t="s">
        <v>296</v>
      </c>
      <c r="D24" s="80" t="s">
        <v>297</v>
      </c>
      <c r="E24" s="76"/>
      <c r="F24" s="76"/>
      <c r="G24" s="77"/>
      <c r="H24" s="76">
        <f t="shared" ref="H24:I25" si="4">F24-E24</f>
        <v>0</v>
      </c>
      <c r="I24" s="77">
        <f t="shared" si="4"/>
        <v>0</v>
      </c>
      <c r="J24" s="87">
        <f t="shared" si="0"/>
        <v>0</v>
      </c>
    </row>
    <row r="25" spans="1:10" ht="21.95" customHeight="1" outlineLevel="2">
      <c r="A25" s="79" t="s">
        <v>295</v>
      </c>
      <c r="B25" s="73"/>
      <c r="C25" s="74" t="s">
        <v>298</v>
      </c>
      <c r="D25" s="80" t="s">
        <v>299</v>
      </c>
      <c r="E25" s="76"/>
      <c r="F25" s="76"/>
      <c r="G25" s="77"/>
      <c r="H25" s="76">
        <f t="shared" si="4"/>
        <v>0</v>
      </c>
      <c r="I25" s="77">
        <f t="shared" si="4"/>
        <v>0</v>
      </c>
      <c r="J25" s="87">
        <f t="shared" si="0"/>
        <v>0</v>
      </c>
    </row>
    <row r="26" spans="1:10" s="87" customFormat="1" ht="21.95" customHeight="1" outlineLevel="1">
      <c r="A26" s="81" t="s">
        <v>300</v>
      </c>
      <c r="B26" s="82" t="s">
        <v>301</v>
      </c>
      <c r="C26" s="83"/>
      <c r="D26" s="84" t="s">
        <v>302</v>
      </c>
      <c r="E26" s="85">
        <f>SUBTOTAL(9,E24:E25)</f>
        <v>0</v>
      </c>
      <c r="F26" s="85">
        <f>SUBTOTAL(9,F24:F25)</f>
        <v>0</v>
      </c>
      <c r="G26" s="86">
        <f>SUBTOTAL(9,G24:G25)</f>
        <v>0</v>
      </c>
      <c r="H26" s="85">
        <f>SUBTOTAL(9,H24:H25)</f>
        <v>0</v>
      </c>
      <c r="I26" s="86">
        <f>SUBTOTAL(9,I24:I25)</f>
        <v>0</v>
      </c>
      <c r="J26" s="87">
        <f t="shared" si="0"/>
        <v>0</v>
      </c>
    </row>
    <row r="27" spans="1:10" ht="21.95" customHeight="1" outlineLevel="2">
      <c r="A27" s="79" t="s">
        <v>303</v>
      </c>
      <c r="B27" s="73"/>
      <c r="C27" s="74" t="s">
        <v>304</v>
      </c>
      <c r="D27" s="80" t="s">
        <v>305</v>
      </c>
      <c r="E27" s="76"/>
      <c r="F27" s="76"/>
      <c r="G27" s="77"/>
      <c r="H27" s="76">
        <f t="shared" ref="H27:I28" si="5">F27-E27</f>
        <v>0</v>
      </c>
      <c r="I27" s="77">
        <f t="shared" si="5"/>
        <v>0</v>
      </c>
      <c r="J27" s="87">
        <f t="shared" si="0"/>
        <v>0</v>
      </c>
    </row>
    <row r="28" spans="1:10" ht="21.95" customHeight="1" outlineLevel="2">
      <c r="A28" s="79" t="s">
        <v>303</v>
      </c>
      <c r="B28" s="73"/>
      <c r="C28" s="74" t="s">
        <v>306</v>
      </c>
      <c r="D28" s="80" t="s">
        <v>307</v>
      </c>
      <c r="E28" s="76"/>
      <c r="F28" s="76"/>
      <c r="G28" s="77"/>
      <c r="H28" s="76">
        <f t="shared" si="5"/>
        <v>0</v>
      </c>
      <c r="I28" s="77">
        <f t="shared" si="5"/>
        <v>0</v>
      </c>
      <c r="J28" s="87">
        <f t="shared" si="0"/>
        <v>0</v>
      </c>
    </row>
    <row r="29" spans="1:10" s="87" customFormat="1" ht="21.95" customHeight="1" outlineLevel="1">
      <c r="A29" s="81" t="s">
        <v>308</v>
      </c>
      <c r="B29" s="82" t="s">
        <v>309</v>
      </c>
      <c r="C29" s="83"/>
      <c r="D29" s="84" t="s">
        <v>310</v>
      </c>
      <c r="E29" s="85">
        <f>SUBTOTAL(9,E27:E28)</f>
        <v>0</v>
      </c>
      <c r="F29" s="85">
        <f>SUBTOTAL(9,F27:F28)</f>
        <v>0</v>
      </c>
      <c r="G29" s="86">
        <f>SUBTOTAL(9,G27:G28)</f>
        <v>0</v>
      </c>
      <c r="H29" s="85">
        <f>SUBTOTAL(9,H27:H28)</f>
        <v>0</v>
      </c>
      <c r="I29" s="86">
        <f>SUBTOTAL(9,I27:I28)</f>
        <v>0</v>
      </c>
      <c r="J29" s="87">
        <f t="shared" si="0"/>
        <v>0</v>
      </c>
    </row>
    <row r="30" spans="1:10" ht="21.95" customHeight="1" outlineLevel="2">
      <c r="A30" s="79" t="s">
        <v>311</v>
      </c>
      <c r="B30" s="73"/>
      <c r="C30" s="74" t="s">
        <v>312</v>
      </c>
      <c r="D30" s="80" t="s">
        <v>313</v>
      </c>
      <c r="E30" s="76"/>
      <c r="F30" s="76"/>
      <c r="G30" s="77"/>
      <c r="H30" s="76">
        <f t="shared" ref="H30:I31" si="6">F30-E30</f>
        <v>0</v>
      </c>
      <c r="I30" s="77">
        <f t="shared" si="6"/>
        <v>0</v>
      </c>
      <c r="J30" s="87">
        <f t="shared" si="0"/>
        <v>0</v>
      </c>
    </row>
    <row r="31" spans="1:10" ht="21.95" customHeight="1" outlineLevel="2">
      <c r="A31" s="79" t="s">
        <v>311</v>
      </c>
      <c r="B31" s="73"/>
      <c r="C31" s="74" t="s">
        <v>314</v>
      </c>
      <c r="D31" s="80" t="s">
        <v>315</v>
      </c>
      <c r="E31" s="76"/>
      <c r="F31" s="76"/>
      <c r="G31" s="77"/>
      <c r="H31" s="76">
        <f t="shared" si="6"/>
        <v>0</v>
      </c>
      <c r="I31" s="77">
        <f t="shared" si="6"/>
        <v>0</v>
      </c>
      <c r="J31" s="87">
        <f t="shared" si="0"/>
        <v>0</v>
      </c>
    </row>
    <row r="32" spans="1:10" s="87" customFormat="1" ht="21.95" customHeight="1" outlineLevel="1">
      <c r="A32" s="81" t="s">
        <v>316</v>
      </c>
      <c r="B32" s="82" t="s">
        <v>317</v>
      </c>
      <c r="C32" s="83"/>
      <c r="D32" s="84" t="s">
        <v>318</v>
      </c>
      <c r="E32" s="85">
        <f>SUBTOTAL(9,E30:E31)</f>
        <v>0</v>
      </c>
      <c r="F32" s="85">
        <f>SUBTOTAL(9,F30:F31)</f>
        <v>0</v>
      </c>
      <c r="G32" s="86">
        <f>SUBTOTAL(9,G30:G31)</f>
        <v>0</v>
      </c>
      <c r="H32" s="85">
        <f>SUBTOTAL(9,H30:H31)</f>
        <v>0</v>
      </c>
      <c r="I32" s="86">
        <f>SUBTOTAL(9,I30:I31)</f>
        <v>0</v>
      </c>
      <c r="J32" s="87">
        <f t="shared" si="0"/>
        <v>0</v>
      </c>
    </row>
    <row r="33" spans="1:10" ht="21.95" customHeight="1" outlineLevel="2">
      <c r="A33" s="79" t="s">
        <v>319</v>
      </c>
      <c r="B33" s="73"/>
      <c r="C33" s="74" t="s">
        <v>320</v>
      </c>
      <c r="D33" s="80" t="s">
        <v>321</v>
      </c>
      <c r="E33" s="76"/>
      <c r="F33" s="76"/>
      <c r="G33" s="77"/>
      <c r="H33" s="76">
        <f t="shared" ref="H33:I34" si="7">F33-E33</f>
        <v>0</v>
      </c>
      <c r="I33" s="77">
        <f t="shared" si="7"/>
        <v>0</v>
      </c>
      <c r="J33" s="87">
        <f t="shared" si="0"/>
        <v>0</v>
      </c>
    </row>
    <row r="34" spans="1:10" ht="21.95" customHeight="1" outlineLevel="2">
      <c r="A34" s="79" t="s">
        <v>319</v>
      </c>
      <c r="B34" s="73"/>
      <c r="C34" s="74" t="s">
        <v>322</v>
      </c>
      <c r="D34" s="80" t="s">
        <v>323</v>
      </c>
      <c r="E34" s="76"/>
      <c r="F34" s="76"/>
      <c r="G34" s="77"/>
      <c r="H34" s="76">
        <f t="shared" si="7"/>
        <v>0</v>
      </c>
      <c r="I34" s="77">
        <f t="shared" si="7"/>
        <v>0</v>
      </c>
      <c r="J34" s="87">
        <f t="shared" si="0"/>
        <v>0</v>
      </c>
    </row>
    <row r="35" spans="1:10" s="87" customFormat="1" ht="21.95" customHeight="1" outlineLevel="1">
      <c r="A35" s="81" t="s">
        <v>324</v>
      </c>
      <c r="B35" s="82" t="s">
        <v>325</v>
      </c>
      <c r="C35" s="83"/>
      <c r="D35" s="84" t="s">
        <v>326</v>
      </c>
      <c r="E35" s="85">
        <f>SUBTOTAL(9,E33:E34)</f>
        <v>0</v>
      </c>
      <c r="F35" s="85">
        <f>SUBTOTAL(9,F33:F34)</f>
        <v>0</v>
      </c>
      <c r="G35" s="86">
        <f>SUBTOTAL(9,G33:G34)</f>
        <v>0</v>
      </c>
      <c r="H35" s="85">
        <f>SUBTOTAL(9,H33:H34)</f>
        <v>0</v>
      </c>
      <c r="I35" s="86">
        <f>SUBTOTAL(9,I33:I34)</f>
        <v>0</v>
      </c>
      <c r="J35" s="87">
        <f t="shared" si="0"/>
        <v>0</v>
      </c>
    </row>
    <row r="36" spans="1:10" ht="21.95" customHeight="1" outlineLevel="2">
      <c r="A36" s="79" t="s">
        <v>327</v>
      </c>
      <c r="B36" s="73"/>
      <c r="C36" s="74" t="s">
        <v>328</v>
      </c>
      <c r="D36" s="80" t="s">
        <v>329</v>
      </c>
      <c r="E36" s="76"/>
      <c r="F36" s="76"/>
      <c r="G36" s="77"/>
      <c r="H36" s="76">
        <f t="shared" ref="H36:I40" si="8">F36-E36</f>
        <v>0</v>
      </c>
      <c r="I36" s="77">
        <f t="shared" si="8"/>
        <v>0</v>
      </c>
      <c r="J36" s="87">
        <f t="shared" si="0"/>
        <v>0</v>
      </c>
    </row>
    <row r="37" spans="1:10" ht="21.95" customHeight="1" outlineLevel="2">
      <c r="A37" s="79" t="s">
        <v>327</v>
      </c>
      <c r="B37" s="73"/>
      <c r="C37" s="74" t="s">
        <v>330</v>
      </c>
      <c r="D37" s="80" t="s">
        <v>331</v>
      </c>
      <c r="E37" s="76"/>
      <c r="F37" s="76"/>
      <c r="G37" s="77"/>
      <c r="H37" s="76">
        <f t="shared" si="8"/>
        <v>0</v>
      </c>
      <c r="I37" s="77">
        <f t="shared" si="8"/>
        <v>0</v>
      </c>
      <c r="J37" s="87">
        <f t="shared" si="0"/>
        <v>0</v>
      </c>
    </row>
    <row r="38" spans="1:10" ht="21.95" customHeight="1" outlineLevel="2">
      <c r="A38" s="79" t="s">
        <v>327</v>
      </c>
      <c r="B38" s="73"/>
      <c r="C38" s="74" t="s">
        <v>332</v>
      </c>
      <c r="D38" s="80" t="s">
        <v>333</v>
      </c>
      <c r="E38" s="76"/>
      <c r="F38" s="76"/>
      <c r="G38" s="77"/>
      <c r="H38" s="76">
        <f t="shared" si="8"/>
        <v>0</v>
      </c>
      <c r="I38" s="77">
        <f t="shared" si="8"/>
        <v>0</v>
      </c>
      <c r="J38" s="87">
        <f t="shared" si="0"/>
        <v>0</v>
      </c>
    </row>
    <row r="39" spans="1:10" ht="21.95" customHeight="1" outlineLevel="2">
      <c r="A39" s="79" t="s">
        <v>327</v>
      </c>
      <c r="B39" s="73"/>
      <c r="C39" s="74" t="s">
        <v>334</v>
      </c>
      <c r="D39" s="80" t="s">
        <v>335</v>
      </c>
      <c r="E39" s="76"/>
      <c r="F39" s="76"/>
      <c r="G39" s="77"/>
      <c r="H39" s="76">
        <f t="shared" si="8"/>
        <v>0</v>
      </c>
      <c r="I39" s="77">
        <f t="shared" si="8"/>
        <v>0</v>
      </c>
      <c r="J39" s="87">
        <f t="shared" si="0"/>
        <v>0</v>
      </c>
    </row>
    <row r="40" spans="1:10" ht="21.95" customHeight="1" outlineLevel="2">
      <c r="A40" s="79" t="s">
        <v>327</v>
      </c>
      <c r="B40" s="73"/>
      <c r="C40" s="74" t="s">
        <v>336</v>
      </c>
      <c r="D40" s="80" t="s">
        <v>337</v>
      </c>
      <c r="E40" s="76"/>
      <c r="F40" s="76"/>
      <c r="G40" s="77"/>
      <c r="H40" s="76">
        <f t="shared" si="8"/>
        <v>0</v>
      </c>
      <c r="I40" s="77">
        <f t="shared" si="8"/>
        <v>0</v>
      </c>
      <c r="J40" s="87">
        <f t="shared" si="0"/>
        <v>0</v>
      </c>
    </row>
    <row r="41" spans="1:10" s="87" customFormat="1" ht="21.95" customHeight="1" outlineLevel="1">
      <c r="A41" s="81" t="s">
        <v>338</v>
      </c>
      <c r="B41" s="82" t="s">
        <v>339</v>
      </c>
      <c r="C41" s="83"/>
      <c r="D41" s="84" t="s">
        <v>340</v>
      </c>
      <c r="E41" s="85">
        <f>SUBTOTAL(9,E36:E40)</f>
        <v>0</v>
      </c>
      <c r="F41" s="85">
        <f>SUBTOTAL(9,F36:F40)</f>
        <v>0</v>
      </c>
      <c r="G41" s="86">
        <f>SUBTOTAL(9,G36:G40)</f>
        <v>0</v>
      </c>
      <c r="H41" s="85">
        <f>SUBTOTAL(9,H36:H40)</f>
        <v>0</v>
      </c>
      <c r="I41" s="86">
        <f>SUBTOTAL(9,I36:I40)</f>
        <v>0</v>
      </c>
      <c r="J41" s="87">
        <f t="shared" si="0"/>
        <v>0</v>
      </c>
    </row>
    <row r="42" spans="1:10" ht="21.95" customHeight="1" outlineLevel="2">
      <c r="A42" s="79" t="s">
        <v>341</v>
      </c>
      <c r="B42" s="73"/>
      <c r="C42" s="74" t="s">
        <v>342</v>
      </c>
      <c r="D42" s="80" t="s">
        <v>87</v>
      </c>
      <c r="E42" s="76"/>
      <c r="F42" s="76"/>
      <c r="G42" s="77"/>
      <c r="H42" s="76">
        <f t="shared" ref="H42:I49" si="9">F42-E42</f>
        <v>0</v>
      </c>
      <c r="I42" s="77">
        <f t="shared" si="9"/>
        <v>0</v>
      </c>
      <c r="J42" s="87">
        <f t="shared" si="0"/>
        <v>0</v>
      </c>
    </row>
    <row r="43" spans="1:10" ht="21.95" customHeight="1" outlineLevel="2">
      <c r="A43" s="79" t="s">
        <v>341</v>
      </c>
      <c r="B43" s="73"/>
      <c r="C43" s="74" t="s">
        <v>343</v>
      </c>
      <c r="D43" s="80" t="s">
        <v>344</v>
      </c>
      <c r="E43" s="76"/>
      <c r="F43" s="76"/>
      <c r="G43" s="77"/>
      <c r="H43" s="76">
        <f t="shared" si="9"/>
        <v>0</v>
      </c>
      <c r="I43" s="77">
        <f t="shared" si="9"/>
        <v>0</v>
      </c>
      <c r="J43" s="87">
        <f t="shared" si="0"/>
        <v>0</v>
      </c>
    </row>
    <row r="44" spans="1:10" ht="21.95" customHeight="1" outlineLevel="2">
      <c r="A44" s="79" t="s">
        <v>341</v>
      </c>
      <c r="B44" s="73"/>
      <c r="C44" s="74" t="s">
        <v>345</v>
      </c>
      <c r="D44" s="80" t="s">
        <v>346</v>
      </c>
      <c r="E44" s="76"/>
      <c r="F44" s="76"/>
      <c r="G44" s="77"/>
      <c r="H44" s="76">
        <f t="shared" si="9"/>
        <v>0</v>
      </c>
      <c r="I44" s="77">
        <f t="shared" si="9"/>
        <v>0</v>
      </c>
      <c r="J44" s="87">
        <f t="shared" si="0"/>
        <v>0</v>
      </c>
    </row>
    <row r="45" spans="1:10" ht="21.95" customHeight="1" outlineLevel="2">
      <c r="A45" s="79" t="s">
        <v>341</v>
      </c>
      <c r="B45" s="73"/>
      <c r="C45" s="74" t="s">
        <v>347</v>
      </c>
      <c r="D45" s="80" t="s">
        <v>348</v>
      </c>
      <c r="E45" s="76"/>
      <c r="F45" s="76"/>
      <c r="G45" s="77"/>
      <c r="H45" s="76">
        <f t="shared" si="9"/>
        <v>0</v>
      </c>
      <c r="I45" s="77">
        <f t="shared" si="9"/>
        <v>0</v>
      </c>
      <c r="J45" s="87">
        <f t="shared" si="0"/>
        <v>0</v>
      </c>
    </row>
    <row r="46" spans="1:10" ht="21.95" customHeight="1" outlineLevel="2">
      <c r="A46" s="79" t="s">
        <v>341</v>
      </c>
      <c r="B46" s="73"/>
      <c r="C46" s="74" t="s">
        <v>349</v>
      </c>
      <c r="D46" s="80" t="s">
        <v>350</v>
      </c>
      <c r="E46" s="76"/>
      <c r="F46" s="76"/>
      <c r="G46" s="77"/>
      <c r="H46" s="76">
        <f t="shared" si="9"/>
        <v>0</v>
      </c>
      <c r="I46" s="77">
        <f t="shared" si="9"/>
        <v>0</v>
      </c>
      <c r="J46" s="87">
        <f t="shared" si="0"/>
        <v>0</v>
      </c>
    </row>
    <row r="47" spans="1:10" ht="21.95" customHeight="1" outlineLevel="2">
      <c r="A47" s="79" t="s">
        <v>341</v>
      </c>
      <c r="B47" s="73"/>
      <c r="C47" s="74" t="s">
        <v>351</v>
      </c>
      <c r="D47" s="80" t="s">
        <v>352</v>
      </c>
      <c r="E47" s="76"/>
      <c r="F47" s="76"/>
      <c r="G47" s="77"/>
      <c r="H47" s="76">
        <f t="shared" si="9"/>
        <v>0</v>
      </c>
      <c r="I47" s="77">
        <f t="shared" si="9"/>
        <v>0</v>
      </c>
      <c r="J47" s="87">
        <f t="shared" si="0"/>
        <v>0</v>
      </c>
    </row>
    <row r="48" spans="1:10" ht="21.95" customHeight="1" outlineLevel="2">
      <c r="A48" s="79" t="s">
        <v>341</v>
      </c>
      <c r="B48" s="73"/>
      <c r="C48" s="74" t="s">
        <v>353</v>
      </c>
      <c r="D48" s="80" t="s">
        <v>354</v>
      </c>
      <c r="E48" s="76"/>
      <c r="F48" s="76"/>
      <c r="G48" s="77"/>
      <c r="H48" s="76">
        <f t="shared" si="9"/>
        <v>0</v>
      </c>
      <c r="I48" s="77">
        <f t="shared" si="9"/>
        <v>0</v>
      </c>
      <c r="J48" s="87">
        <f t="shared" si="0"/>
        <v>0</v>
      </c>
    </row>
    <row r="49" spans="1:10" ht="21.95" customHeight="1" outlineLevel="2">
      <c r="A49" s="79" t="s">
        <v>341</v>
      </c>
      <c r="B49" s="73"/>
      <c r="C49" s="74" t="s">
        <v>355</v>
      </c>
      <c r="D49" s="80" t="s">
        <v>356</v>
      </c>
      <c r="E49" s="76"/>
      <c r="F49" s="76"/>
      <c r="G49" s="77"/>
      <c r="H49" s="76">
        <f t="shared" si="9"/>
        <v>0</v>
      </c>
      <c r="I49" s="77">
        <f t="shared" si="9"/>
        <v>0</v>
      </c>
      <c r="J49" s="87">
        <f t="shared" si="0"/>
        <v>0</v>
      </c>
    </row>
    <row r="50" spans="1:10" s="87" customFormat="1" ht="21.95" customHeight="1" outlineLevel="1">
      <c r="A50" s="81" t="s">
        <v>357</v>
      </c>
      <c r="B50" s="82" t="s">
        <v>358</v>
      </c>
      <c r="C50" s="83"/>
      <c r="D50" s="84" t="s">
        <v>359</v>
      </c>
      <c r="E50" s="85">
        <f>SUBTOTAL(9,E42:E49)</f>
        <v>0</v>
      </c>
      <c r="F50" s="85">
        <f>SUBTOTAL(9,F42:F49)</f>
        <v>0</v>
      </c>
      <c r="G50" s="86">
        <f>SUBTOTAL(9,G42:G49)</f>
        <v>0</v>
      </c>
      <c r="H50" s="85">
        <f>SUBTOTAL(9,H42:H49)</f>
        <v>0</v>
      </c>
      <c r="I50" s="86">
        <f>SUBTOTAL(9,I42:I49)</f>
        <v>0</v>
      </c>
      <c r="J50" s="87">
        <f t="shared" si="0"/>
        <v>0</v>
      </c>
    </row>
    <row r="51" spans="1:10" ht="21.95" customHeight="1" outlineLevel="2">
      <c r="A51" s="79" t="s">
        <v>360</v>
      </c>
      <c r="B51" s="73"/>
      <c r="C51" s="74" t="s">
        <v>361</v>
      </c>
      <c r="D51" s="80" t="s">
        <v>362</v>
      </c>
      <c r="E51" s="76"/>
      <c r="F51" s="76"/>
      <c r="G51" s="77"/>
      <c r="H51" s="76">
        <f t="shared" ref="H51:I51" si="10">F51-E51</f>
        <v>0</v>
      </c>
      <c r="I51" s="77">
        <f t="shared" si="10"/>
        <v>0</v>
      </c>
      <c r="J51" s="87">
        <f t="shared" si="0"/>
        <v>0</v>
      </c>
    </row>
    <row r="52" spans="1:10" s="87" customFormat="1" ht="21.95" customHeight="1" outlineLevel="1">
      <c r="A52" s="81" t="s">
        <v>363</v>
      </c>
      <c r="B52" s="82" t="s">
        <v>364</v>
      </c>
      <c r="C52" s="83"/>
      <c r="D52" s="84" t="s">
        <v>365</v>
      </c>
      <c r="E52" s="85">
        <f>SUM(E51)</f>
        <v>0</v>
      </c>
      <c r="F52" s="85">
        <f t="shared" ref="F52:I52" si="11">SUM(F51)</f>
        <v>0</v>
      </c>
      <c r="G52" s="85">
        <f t="shared" si="11"/>
        <v>0</v>
      </c>
      <c r="H52" s="85">
        <f t="shared" si="11"/>
        <v>0</v>
      </c>
      <c r="I52" s="85">
        <f t="shared" si="11"/>
        <v>0</v>
      </c>
      <c r="J52" s="87">
        <f t="shared" si="0"/>
        <v>0</v>
      </c>
    </row>
    <row r="53" spans="1:10" ht="21.95" customHeight="1" outlineLevel="2">
      <c r="A53" s="79" t="s">
        <v>366</v>
      </c>
      <c r="B53" s="73"/>
      <c r="C53" s="74" t="s">
        <v>367</v>
      </c>
      <c r="D53" s="80" t="s">
        <v>368</v>
      </c>
      <c r="E53" s="76">
        <v>0</v>
      </c>
      <c r="F53" s="76">
        <v>0</v>
      </c>
      <c r="G53" s="77"/>
      <c r="H53" s="76">
        <f>F53-E53</f>
        <v>0</v>
      </c>
      <c r="I53" s="77">
        <f t="shared" ref="I53:I56" si="12">G53-F53</f>
        <v>0</v>
      </c>
      <c r="J53" s="87">
        <f t="shared" si="0"/>
        <v>0</v>
      </c>
    </row>
    <row r="54" spans="1:10" ht="21.95" customHeight="1" outlineLevel="2">
      <c r="A54" s="79" t="s">
        <v>366</v>
      </c>
      <c r="B54" s="73"/>
      <c r="C54" s="74" t="s">
        <v>369</v>
      </c>
      <c r="D54" s="80" t="s">
        <v>370</v>
      </c>
      <c r="E54" s="76"/>
      <c r="F54" s="76"/>
      <c r="G54" s="77"/>
      <c r="H54" s="76">
        <f t="shared" ref="H54:H56" si="13">F54-E54</f>
        <v>0</v>
      </c>
      <c r="I54" s="77">
        <f t="shared" si="12"/>
        <v>0</v>
      </c>
      <c r="J54" s="87">
        <f t="shared" si="0"/>
        <v>0</v>
      </c>
    </row>
    <row r="55" spans="1:10" ht="21.95" customHeight="1" outlineLevel="2">
      <c r="A55" s="79" t="s">
        <v>366</v>
      </c>
      <c r="B55" s="73"/>
      <c r="C55" s="74" t="s">
        <v>371</v>
      </c>
      <c r="D55" s="80" t="s">
        <v>372</v>
      </c>
      <c r="E55" s="76"/>
      <c r="F55" s="76"/>
      <c r="G55" s="77"/>
      <c r="H55" s="76">
        <f t="shared" si="13"/>
        <v>0</v>
      </c>
      <c r="I55" s="77">
        <f t="shared" si="12"/>
        <v>0</v>
      </c>
      <c r="J55" s="87">
        <f t="shared" si="0"/>
        <v>0</v>
      </c>
    </row>
    <row r="56" spans="1:10" ht="21.95" customHeight="1" outlineLevel="2">
      <c r="A56" s="79" t="s">
        <v>366</v>
      </c>
      <c r="B56" s="73"/>
      <c r="C56" s="74" t="s">
        <v>373</v>
      </c>
      <c r="D56" s="80" t="s">
        <v>374</v>
      </c>
      <c r="E56" s="76"/>
      <c r="F56" s="76"/>
      <c r="G56" s="77"/>
      <c r="H56" s="76">
        <f t="shared" si="13"/>
        <v>0</v>
      </c>
      <c r="I56" s="77">
        <f t="shared" si="12"/>
        <v>0</v>
      </c>
      <c r="J56" s="87">
        <f t="shared" si="0"/>
        <v>0</v>
      </c>
    </row>
    <row r="57" spans="1:10" s="87" customFormat="1" ht="21.95" customHeight="1" outlineLevel="1">
      <c r="A57" s="81" t="s">
        <v>375</v>
      </c>
      <c r="B57" s="82" t="s">
        <v>376</v>
      </c>
      <c r="C57" s="83"/>
      <c r="D57" s="84" t="s">
        <v>377</v>
      </c>
      <c r="E57" s="85">
        <f>SUBTOTAL(9,E53:E56)</f>
        <v>0</v>
      </c>
      <c r="F57" s="85">
        <f>SUBTOTAL(9,F53:F56)</f>
        <v>0</v>
      </c>
      <c r="G57" s="86">
        <f>SUBTOTAL(9,G53:G56)</f>
        <v>0</v>
      </c>
      <c r="H57" s="85">
        <f>SUBTOTAL(9,H53:H56)</f>
        <v>0</v>
      </c>
      <c r="I57" s="86">
        <f>SUBTOTAL(9,I53:I56)</f>
        <v>0</v>
      </c>
      <c r="J57" s="87">
        <f t="shared" si="0"/>
        <v>0</v>
      </c>
    </row>
    <row r="58" spans="1:10" ht="21.95" customHeight="1" outlineLevel="2">
      <c r="A58" s="79" t="s">
        <v>378</v>
      </c>
      <c r="B58" s="73"/>
      <c r="C58" s="74" t="s">
        <v>379</v>
      </c>
      <c r="D58" s="80" t="s">
        <v>380</v>
      </c>
      <c r="E58" s="76"/>
      <c r="F58" s="76"/>
      <c r="G58" s="77"/>
      <c r="H58" s="76">
        <f t="shared" ref="H58:I59" si="14">F58-E58</f>
        <v>0</v>
      </c>
      <c r="I58" s="77">
        <f t="shared" si="14"/>
        <v>0</v>
      </c>
      <c r="J58" s="87">
        <f t="shared" si="0"/>
        <v>0</v>
      </c>
    </row>
    <row r="59" spans="1:10" ht="21.95" customHeight="1" outlineLevel="2">
      <c r="A59" s="79" t="s">
        <v>378</v>
      </c>
      <c r="B59" s="73"/>
      <c r="C59" s="74" t="s">
        <v>381</v>
      </c>
      <c r="D59" s="80" t="s">
        <v>382</v>
      </c>
      <c r="E59" s="76"/>
      <c r="F59" s="76"/>
      <c r="G59" s="77"/>
      <c r="H59" s="76">
        <f t="shared" si="14"/>
        <v>0</v>
      </c>
      <c r="I59" s="77">
        <f t="shared" si="14"/>
        <v>0</v>
      </c>
      <c r="J59" s="87">
        <f t="shared" si="0"/>
        <v>0</v>
      </c>
    </row>
    <row r="60" spans="1:10" s="87" customFormat="1" ht="21.95" customHeight="1" outlineLevel="1">
      <c r="A60" s="81" t="s">
        <v>383</v>
      </c>
      <c r="B60" s="92" t="s">
        <v>384</v>
      </c>
      <c r="C60" s="83"/>
      <c r="D60" s="84" t="s">
        <v>385</v>
      </c>
      <c r="E60" s="85">
        <f>SUBTOTAL(9,E58:E59)</f>
        <v>0</v>
      </c>
      <c r="F60" s="85">
        <f>SUBTOTAL(9,F58:F59)</f>
        <v>0</v>
      </c>
      <c r="G60" s="86">
        <f>SUBTOTAL(9,G58:G59)</f>
        <v>0</v>
      </c>
      <c r="H60" s="85">
        <f>SUBTOTAL(9,H58:H59)</f>
        <v>0</v>
      </c>
      <c r="I60" s="86">
        <f>SUBTOTAL(9,I58:I59)</f>
        <v>0</v>
      </c>
      <c r="J60" s="87">
        <f t="shared" si="0"/>
        <v>0</v>
      </c>
    </row>
    <row r="61" spans="1:10" ht="21.95" customHeight="1" outlineLevel="2">
      <c r="A61" s="79" t="s">
        <v>386</v>
      </c>
      <c r="B61" s="93"/>
      <c r="C61" s="74" t="s">
        <v>387</v>
      </c>
      <c r="D61" s="80" t="s">
        <v>388</v>
      </c>
      <c r="E61" s="76"/>
      <c r="F61" s="76"/>
      <c r="G61" s="77"/>
      <c r="H61" s="76">
        <f t="shared" ref="H61:I74" si="15">F61-E61</f>
        <v>0</v>
      </c>
      <c r="I61" s="77">
        <f t="shared" si="15"/>
        <v>0</v>
      </c>
      <c r="J61" s="87">
        <f t="shared" si="0"/>
        <v>0</v>
      </c>
    </row>
    <row r="62" spans="1:10" ht="21.95" customHeight="1" outlineLevel="2">
      <c r="A62" s="79" t="s">
        <v>386</v>
      </c>
      <c r="B62" s="73"/>
      <c r="C62" s="74" t="s">
        <v>389</v>
      </c>
      <c r="D62" s="80" t="s">
        <v>390</v>
      </c>
      <c r="E62" s="76"/>
      <c r="F62" s="76"/>
      <c r="G62" s="77"/>
      <c r="H62" s="76">
        <f t="shared" si="15"/>
        <v>0</v>
      </c>
      <c r="I62" s="77">
        <f t="shared" si="15"/>
        <v>0</v>
      </c>
      <c r="J62" s="87">
        <f t="shared" si="0"/>
        <v>0</v>
      </c>
    </row>
    <row r="63" spans="1:10" ht="21.95" customHeight="1" outlineLevel="2">
      <c r="A63" s="79" t="s">
        <v>386</v>
      </c>
      <c r="B63" s="73"/>
      <c r="C63" s="74" t="s">
        <v>391</v>
      </c>
      <c r="D63" s="80" t="s">
        <v>392</v>
      </c>
      <c r="E63" s="76"/>
      <c r="F63" s="76"/>
      <c r="G63" s="77"/>
      <c r="H63" s="76">
        <f t="shared" si="15"/>
        <v>0</v>
      </c>
      <c r="I63" s="77">
        <f t="shared" si="15"/>
        <v>0</v>
      </c>
      <c r="J63" s="87">
        <f t="shared" si="0"/>
        <v>0</v>
      </c>
    </row>
    <row r="64" spans="1:10" ht="21.95" customHeight="1" outlineLevel="2">
      <c r="A64" s="79" t="s">
        <v>386</v>
      </c>
      <c r="B64" s="73"/>
      <c r="C64" s="74" t="s">
        <v>393</v>
      </c>
      <c r="D64" s="80" t="s">
        <v>394</v>
      </c>
      <c r="E64" s="76"/>
      <c r="F64" s="76"/>
      <c r="G64" s="77"/>
      <c r="H64" s="76">
        <f t="shared" si="15"/>
        <v>0</v>
      </c>
      <c r="I64" s="77">
        <f t="shared" si="15"/>
        <v>0</v>
      </c>
      <c r="J64" s="87">
        <f t="shared" si="0"/>
        <v>0</v>
      </c>
    </row>
    <row r="65" spans="1:10" ht="21.95" customHeight="1" outlineLevel="2">
      <c r="A65" s="79" t="s">
        <v>386</v>
      </c>
      <c r="B65" s="73"/>
      <c r="C65" s="74" t="s">
        <v>395</v>
      </c>
      <c r="D65" s="80" t="s">
        <v>396</v>
      </c>
      <c r="E65" s="76"/>
      <c r="F65" s="76"/>
      <c r="G65" s="77"/>
      <c r="H65" s="76">
        <f t="shared" si="15"/>
        <v>0</v>
      </c>
      <c r="I65" s="77">
        <f t="shared" si="15"/>
        <v>0</v>
      </c>
      <c r="J65" s="87">
        <f t="shared" si="0"/>
        <v>0</v>
      </c>
    </row>
    <row r="66" spans="1:10" ht="21.95" customHeight="1" outlineLevel="2">
      <c r="A66" s="79" t="s">
        <v>386</v>
      </c>
      <c r="B66" s="73"/>
      <c r="C66" s="74" t="s">
        <v>397</v>
      </c>
      <c r="D66" s="80" t="s">
        <v>398</v>
      </c>
      <c r="E66" s="76"/>
      <c r="F66" s="76"/>
      <c r="G66" s="77"/>
      <c r="H66" s="76">
        <f t="shared" si="15"/>
        <v>0</v>
      </c>
      <c r="I66" s="77">
        <f t="shared" si="15"/>
        <v>0</v>
      </c>
      <c r="J66" s="87">
        <f t="shared" si="0"/>
        <v>0</v>
      </c>
    </row>
    <row r="67" spans="1:10" ht="21.95" customHeight="1" outlineLevel="2">
      <c r="A67" s="79" t="s">
        <v>386</v>
      </c>
      <c r="B67" s="73"/>
      <c r="C67" s="74" t="s">
        <v>399</v>
      </c>
      <c r="D67" s="80" t="s">
        <v>400</v>
      </c>
      <c r="E67" s="76"/>
      <c r="F67" s="76"/>
      <c r="G67" s="77"/>
      <c r="H67" s="76">
        <f t="shared" si="15"/>
        <v>0</v>
      </c>
      <c r="I67" s="77">
        <f t="shared" si="15"/>
        <v>0</v>
      </c>
      <c r="J67" s="87">
        <f t="shared" si="0"/>
        <v>0</v>
      </c>
    </row>
    <row r="68" spans="1:10" ht="21.95" customHeight="1" outlineLevel="2">
      <c r="A68" s="79" t="s">
        <v>386</v>
      </c>
      <c r="B68" s="73"/>
      <c r="C68" s="74" t="s">
        <v>401</v>
      </c>
      <c r="D68" s="80" t="s">
        <v>402</v>
      </c>
      <c r="E68" s="76"/>
      <c r="F68" s="76"/>
      <c r="G68" s="77"/>
      <c r="H68" s="76">
        <f t="shared" si="15"/>
        <v>0</v>
      </c>
      <c r="I68" s="77">
        <f t="shared" si="15"/>
        <v>0</v>
      </c>
      <c r="J68" s="87">
        <f t="shared" si="0"/>
        <v>0</v>
      </c>
    </row>
    <row r="69" spans="1:10" ht="21.95" customHeight="1" outlineLevel="2">
      <c r="A69" s="79" t="s">
        <v>386</v>
      </c>
      <c r="B69" s="73"/>
      <c r="C69" s="74" t="s">
        <v>403</v>
      </c>
      <c r="D69" s="80" t="s">
        <v>404</v>
      </c>
      <c r="E69" s="76"/>
      <c r="F69" s="76"/>
      <c r="G69" s="77"/>
      <c r="H69" s="76">
        <f t="shared" si="15"/>
        <v>0</v>
      </c>
      <c r="I69" s="77">
        <f t="shared" si="15"/>
        <v>0</v>
      </c>
      <c r="J69" s="87">
        <f t="shared" si="0"/>
        <v>0</v>
      </c>
    </row>
    <row r="70" spans="1:10" ht="21.95" customHeight="1" outlineLevel="2">
      <c r="A70" s="79" t="s">
        <v>386</v>
      </c>
      <c r="B70" s="73"/>
      <c r="C70" s="74" t="s">
        <v>405</v>
      </c>
      <c r="D70" s="80" t="s">
        <v>406</v>
      </c>
      <c r="E70" s="76"/>
      <c r="F70" s="76"/>
      <c r="G70" s="77"/>
      <c r="H70" s="76">
        <f t="shared" si="15"/>
        <v>0</v>
      </c>
      <c r="I70" s="77">
        <f t="shared" si="15"/>
        <v>0</v>
      </c>
      <c r="J70" s="87">
        <f t="shared" si="0"/>
        <v>0</v>
      </c>
    </row>
    <row r="71" spans="1:10" ht="21.95" customHeight="1" outlineLevel="2">
      <c r="A71" s="79" t="s">
        <v>386</v>
      </c>
      <c r="B71" s="73"/>
      <c r="C71" s="74" t="s">
        <v>407</v>
      </c>
      <c r="D71" s="80" t="s">
        <v>408</v>
      </c>
      <c r="E71" s="76"/>
      <c r="F71" s="76"/>
      <c r="G71" s="77"/>
      <c r="H71" s="76">
        <f t="shared" si="15"/>
        <v>0</v>
      </c>
      <c r="I71" s="77">
        <f t="shared" si="15"/>
        <v>0</v>
      </c>
      <c r="J71" s="87">
        <f t="shared" si="0"/>
        <v>0</v>
      </c>
    </row>
    <row r="72" spans="1:10" ht="21.95" customHeight="1" outlineLevel="2">
      <c r="A72" s="79" t="s">
        <v>386</v>
      </c>
      <c r="B72" s="73"/>
      <c r="C72" s="74" t="s">
        <v>409</v>
      </c>
      <c r="D72" s="80" t="s">
        <v>410</v>
      </c>
      <c r="E72" s="76"/>
      <c r="F72" s="76"/>
      <c r="G72" s="77"/>
      <c r="H72" s="76">
        <f t="shared" si="15"/>
        <v>0</v>
      </c>
      <c r="I72" s="77">
        <f t="shared" si="15"/>
        <v>0</v>
      </c>
      <c r="J72" s="87">
        <f t="shared" si="0"/>
        <v>0</v>
      </c>
    </row>
    <row r="73" spans="1:10" ht="21.95" customHeight="1" outlineLevel="2">
      <c r="A73" s="79" t="s">
        <v>386</v>
      </c>
      <c r="B73" s="73"/>
      <c r="C73" s="74" t="s">
        <v>411</v>
      </c>
      <c r="D73" s="80" t="s">
        <v>412</v>
      </c>
      <c r="E73" s="76"/>
      <c r="F73" s="76"/>
      <c r="G73" s="77"/>
      <c r="H73" s="76">
        <f t="shared" si="15"/>
        <v>0</v>
      </c>
      <c r="I73" s="77">
        <f t="shared" si="15"/>
        <v>0</v>
      </c>
      <c r="J73" s="87">
        <f t="shared" si="0"/>
        <v>0</v>
      </c>
    </row>
    <row r="74" spans="1:10" ht="21.95" customHeight="1" outlineLevel="2">
      <c r="A74" s="79" t="s">
        <v>386</v>
      </c>
      <c r="B74" s="73"/>
      <c r="C74" s="74" t="s">
        <v>413</v>
      </c>
      <c r="D74" s="80" t="s">
        <v>414</v>
      </c>
      <c r="E74" s="76"/>
      <c r="F74" s="76"/>
      <c r="G74" s="77"/>
      <c r="H74" s="76">
        <f t="shared" si="15"/>
        <v>0</v>
      </c>
      <c r="I74" s="77">
        <f t="shared" si="15"/>
        <v>0</v>
      </c>
      <c r="J74" s="87">
        <f t="shared" ref="J74:J137" si="16">SUM(E74:I74)</f>
        <v>0</v>
      </c>
    </row>
    <row r="75" spans="1:10" s="87" customFormat="1" ht="21.95" customHeight="1" outlineLevel="1">
      <c r="A75" s="81" t="s">
        <v>415</v>
      </c>
      <c r="B75" s="94" t="s">
        <v>416</v>
      </c>
      <c r="C75" s="83"/>
      <c r="D75" s="84" t="s">
        <v>417</v>
      </c>
      <c r="E75" s="85">
        <f>SUBTOTAL(9,E61:E74)</f>
        <v>0</v>
      </c>
      <c r="F75" s="85">
        <f>SUBTOTAL(9,F61:F74)</f>
        <v>0</v>
      </c>
      <c r="G75" s="86">
        <f>SUBTOTAL(9,G61:G74)</f>
        <v>0</v>
      </c>
      <c r="H75" s="85">
        <f>SUBTOTAL(9,H61:H74)</f>
        <v>0</v>
      </c>
      <c r="I75" s="86">
        <f>SUBTOTAL(9,I61:I74)</f>
        <v>0</v>
      </c>
      <c r="J75" s="87">
        <f t="shared" si="16"/>
        <v>0</v>
      </c>
    </row>
    <row r="76" spans="1:10" ht="21.95" customHeight="1" outlineLevel="2">
      <c r="A76" s="79" t="s">
        <v>418</v>
      </c>
      <c r="B76" s="95"/>
      <c r="C76" s="74" t="s">
        <v>419</v>
      </c>
      <c r="D76" s="80" t="s">
        <v>420</v>
      </c>
      <c r="E76" s="76"/>
      <c r="F76" s="76"/>
      <c r="G76" s="77"/>
      <c r="H76" s="76">
        <f t="shared" ref="H76:I85" si="17">F76-E76</f>
        <v>0</v>
      </c>
      <c r="I76" s="77">
        <f t="shared" si="17"/>
        <v>0</v>
      </c>
      <c r="J76" s="87">
        <f t="shared" si="16"/>
        <v>0</v>
      </c>
    </row>
    <row r="77" spans="1:10" ht="21.95" customHeight="1" outlineLevel="2">
      <c r="A77" s="79" t="s">
        <v>418</v>
      </c>
      <c r="B77" s="73"/>
      <c r="C77" s="74" t="s">
        <v>421</v>
      </c>
      <c r="D77" s="80" t="s">
        <v>422</v>
      </c>
      <c r="E77" s="76"/>
      <c r="F77" s="76"/>
      <c r="G77" s="77"/>
      <c r="H77" s="76">
        <f t="shared" si="17"/>
        <v>0</v>
      </c>
      <c r="I77" s="77">
        <f t="shared" si="17"/>
        <v>0</v>
      </c>
      <c r="J77" s="87">
        <f t="shared" si="16"/>
        <v>0</v>
      </c>
    </row>
    <row r="78" spans="1:10" ht="21.95" customHeight="1" outlineLevel="2">
      <c r="A78" s="79" t="s">
        <v>418</v>
      </c>
      <c r="B78" s="73"/>
      <c r="C78" s="74" t="s">
        <v>423</v>
      </c>
      <c r="D78" s="80" t="s">
        <v>424</v>
      </c>
      <c r="E78" s="76"/>
      <c r="F78" s="76"/>
      <c r="G78" s="77"/>
      <c r="H78" s="76">
        <f t="shared" si="17"/>
        <v>0</v>
      </c>
      <c r="I78" s="77">
        <f t="shared" si="17"/>
        <v>0</v>
      </c>
      <c r="J78" s="87">
        <f t="shared" si="16"/>
        <v>0</v>
      </c>
    </row>
    <row r="79" spans="1:10" ht="21.95" customHeight="1" outlineLevel="2">
      <c r="A79" s="79" t="s">
        <v>418</v>
      </c>
      <c r="B79" s="73"/>
      <c r="C79" s="74" t="s">
        <v>425</v>
      </c>
      <c r="D79" s="80" t="s">
        <v>426</v>
      </c>
      <c r="E79" s="76"/>
      <c r="F79" s="76"/>
      <c r="G79" s="77"/>
      <c r="H79" s="76">
        <f t="shared" si="17"/>
        <v>0</v>
      </c>
      <c r="I79" s="77">
        <f t="shared" si="17"/>
        <v>0</v>
      </c>
      <c r="J79" s="87">
        <f t="shared" si="16"/>
        <v>0</v>
      </c>
    </row>
    <row r="80" spans="1:10" ht="21.95" customHeight="1" outlineLevel="2">
      <c r="A80" s="79" t="s">
        <v>418</v>
      </c>
      <c r="B80" s="73"/>
      <c r="C80" s="74" t="s">
        <v>427</v>
      </c>
      <c r="D80" s="80" t="s">
        <v>428</v>
      </c>
      <c r="E80" s="76"/>
      <c r="F80" s="76"/>
      <c r="G80" s="77"/>
      <c r="H80" s="76">
        <f t="shared" si="17"/>
        <v>0</v>
      </c>
      <c r="I80" s="77">
        <f t="shared" si="17"/>
        <v>0</v>
      </c>
      <c r="J80" s="87">
        <f t="shared" si="16"/>
        <v>0</v>
      </c>
    </row>
    <row r="81" spans="1:10" ht="21.95" customHeight="1" outlineLevel="2">
      <c r="A81" s="79" t="s">
        <v>418</v>
      </c>
      <c r="B81" s="73"/>
      <c r="C81" s="74" t="s">
        <v>429</v>
      </c>
      <c r="D81" s="80" t="s">
        <v>430</v>
      </c>
      <c r="E81" s="76"/>
      <c r="F81" s="76"/>
      <c r="G81" s="77"/>
      <c r="H81" s="76">
        <f t="shared" si="17"/>
        <v>0</v>
      </c>
      <c r="I81" s="77">
        <f t="shared" si="17"/>
        <v>0</v>
      </c>
      <c r="J81" s="87">
        <f t="shared" si="16"/>
        <v>0</v>
      </c>
    </row>
    <row r="82" spans="1:10" ht="21.95" customHeight="1" outlineLevel="2">
      <c r="A82" s="79" t="s">
        <v>418</v>
      </c>
      <c r="B82" s="73"/>
      <c r="C82" s="74" t="s">
        <v>431</v>
      </c>
      <c r="D82" s="80" t="s">
        <v>432</v>
      </c>
      <c r="E82" s="76"/>
      <c r="F82" s="76"/>
      <c r="G82" s="77"/>
      <c r="H82" s="76">
        <f t="shared" si="17"/>
        <v>0</v>
      </c>
      <c r="I82" s="77">
        <f t="shared" si="17"/>
        <v>0</v>
      </c>
      <c r="J82" s="87">
        <f t="shared" si="16"/>
        <v>0</v>
      </c>
    </row>
    <row r="83" spans="1:10" ht="21.95" customHeight="1" outlineLevel="2">
      <c r="A83" s="79" t="s">
        <v>418</v>
      </c>
      <c r="B83" s="73"/>
      <c r="C83" s="74" t="s">
        <v>433</v>
      </c>
      <c r="D83" s="80" t="s">
        <v>434</v>
      </c>
      <c r="E83" s="76"/>
      <c r="F83" s="76"/>
      <c r="G83" s="77"/>
      <c r="H83" s="76">
        <f t="shared" si="17"/>
        <v>0</v>
      </c>
      <c r="I83" s="77">
        <f t="shared" si="17"/>
        <v>0</v>
      </c>
      <c r="J83" s="87">
        <f t="shared" si="16"/>
        <v>0</v>
      </c>
    </row>
    <row r="84" spans="1:10" ht="21.95" customHeight="1" outlineLevel="2">
      <c r="A84" s="79" t="s">
        <v>418</v>
      </c>
      <c r="B84" s="73"/>
      <c r="C84" s="74" t="s">
        <v>435</v>
      </c>
      <c r="D84" s="80" t="s">
        <v>436</v>
      </c>
      <c r="E84" s="76"/>
      <c r="F84" s="76"/>
      <c r="G84" s="77"/>
      <c r="H84" s="76">
        <f t="shared" si="17"/>
        <v>0</v>
      </c>
      <c r="I84" s="77">
        <f t="shared" si="17"/>
        <v>0</v>
      </c>
      <c r="J84" s="87">
        <f t="shared" si="16"/>
        <v>0</v>
      </c>
    </row>
    <row r="85" spans="1:10" ht="21.95" customHeight="1" outlineLevel="2">
      <c r="A85" s="79" t="s">
        <v>418</v>
      </c>
      <c r="B85" s="73"/>
      <c r="C85" s="74" t="s">
        <v>437</v>
      </c>
      <c r="D85" s="80" t="s">
        <v>438</v>
      </c>
      <c r="E85" s="76"/>
      <c r="F85" s="76"/>
      <c r="G85" s="77"/>
      <c r="H85" s="76">
        <f t="shared" si="17"/>
        <v>0</v>
      </c>
      <c r="I85" s="77">
        <f t="shared" si="17"/>
        <v>0</v>
      </c>
      <c r="J85" s="87">
        <f t="shared" si="16"/>
        <v>0</v>
      </c>
    </row>
    <row r="86" spans="1:10" s="87" customFormat="1" ht="21.95" customHeight="1" outlineLevel="1">
      <c r="A86" s="81" t="s">
        <v>439</v>
      </c>
      <c r="B86" s="94" t="s">
        <v>440</v>
      </c>
      <c r="C86" s="83"/>
      <c r="D86" s="84" t="s">
        <v>441</v>
      </c>
      <c r="E86" s="85">
        <f>SUBTOTAL(9,E76:E85)</f>
        <v>0</v>
      </c>
      <c r="F86" s="85">
        <f>SUBTOTAL(9,F76:F85)</f>
        <v>0</v>
      </c>
      <c r="G86" s="86">
        <f>SUBTOTAL(9,G76:G85)</f>
        <v>0</v>
      </c>
      <c r="H86" s="85">
        <f>SUBTOTAL(9,H76:H85)</f>
        <v>0</v>
      </c>
      <c r="I86" s="86">
        <f>SUBTOTAL(9,I76:I85)</f>
        <v>0</v>
      </c>
      <c r="J86" s="87">
        <f t="shared" si="16"/>
        <v>0</v>
      </c>
    </row>
    <row r="87" spans="1:10" ht="21.95" customHeight="1" outlineLevel="2">
      <c r="A87" s="79" t="s">
        <v>442</v>
      </c>
      <c r="B87" s="73"/>
      <c r="C87" s="74" t="s">
        <v>443</v>
      </c>
      <c r="D87" s="80" t="s">
        <v>444</v>
      </c>
      <c r="E87" s="76"/>
      <c r="F87" s="76"/>
      <c r="G87" s="77"/>
      <c r="H87" s="76">
        <f t="shared" ref="H87:I90" si="18">F87-E87</f>
        <v>0</v>
      </c>
      <c r="I87" s="77">
        <f t="shared" si="18"/>
        <v>0</v>
      </c>
      <c r="J87" s="87">
        <f t="shared" si="16"/>
        <v>0</v>
      </c>
    </row>
    <row r="88" spans="1:10" ht="21.95" customHeight="1" outlineLevel="2">
      <c r="A88" s="79" t="s">
        <v>442</v>
      </c>
      <c r="B88" s="73"/>
      <c r="C88" s="74" t="s">
        <v>445</v>
      </c>
      <c r="D88" s="80" t="s">
        <v>446</v>
      </c>
      <c r="E88" s="76"/>
      <c r="F88" s="76"/>
      <c r="G88" s="77"/>
      <c r="H88" s="76">
        <f t="shared" si="18"/>
        <v>0</v>
      </c>
      <c r="I88" s="77">
        <f t="shared" si="18"/>
        <v>0</v>
      </c>
      <c r="J88" s="87">
        <f t="shared" si="16"/>
        <v>0</v>
      </c>
    </row>
    <row r="89" spans="1:10" ht="21.95" customHeight="1" outlineLevel="2">
      <c r="A89" s="79" t="s">
        <v>442</v>
      </c>
      <c r="B89" s="73"/>
      <c r="C89" s="74" t="s">
        <v>447</v>
      </c>
      <c r="D89" s="80" t="s">
        <v>448</v>
      </c>
      <c r="E89" s="76"/>
      <c r="F89" s="76"/>
      <c r="G89" s="77"/>
      <c r="H89" s="76">
        <f t="shared" si="18"/>
        <v>0</v>
      </c>
      <c r="I89" s="77">
        <f t="shared" si="18"/>
        <v>0</v>
      </c>
      <c r="J89" s="87">
        <f t="shared" si="16"/>
        <v>0</v>
      </c>
    </row>
    <row r="90" spans="1:10" ht="21.95" customHeight="1" outlineLevel="2">
      <c r="A90" s="79" t="s">
        <v>442</v>
      </c>
      <c r="B90" s="73"/>
      <c r="C90" s="74" t="s">
        <v>449</v>
      </c>
      <c r="D90" s="80" t="s">
        <v>450</v>
      </c>
      <c r="E90" s="76"/>
      <c r="F90" s="76"/>
      <c r="G90" s="77"/>
      <c r="H90" s="76">
        <f t="shared" si="18"/>
        <v>0</v>
      </c>
      <c r="I90" s="77">
        <f t="shared" si="18"/>
        <v>0</v>
      </c>
      <c r="J90" s="87">
        <f t="shared" si="16"/>
        <v>0</v>
      </c>
    </row>
    <row r="91" spans="1:10" s="87" customFormat="1" ht="21.95" customHeight="1" outlineLevel="1">
      <c r="A91" s="81" t="s">
        <v>451</v>
      </c>
      <c r="B91" s="82" t="s">
        <v>452</v>
      </c>
      <c r="C91" s="83"/>
      <c r="D91" s="84" t="s">
        <v>453</v>
      </c>
      <c r="E91" s="85">
        <f>SUBTOTAL(9,E87:E90)</f>
        <v>0</v>
      </c>
      <c r="F91" s="85">
        <f>SUBTOTAL(9,F87:F90)</f>
        <v>0</v>
      </c>
      <c r="G91" s="86">
        <f>SUBTOTAL(9,G87:G90)</f>
        <v>0</v>
      </c>
      <c r="H91" s="85">
        <f>SUBTOTAL(9,H87:H90)</f>
        <v>0</v>
      </c>
      <c r="I91" s="86">
        <f>SUBTOTAL(9,I87:I90)</f>
        <v>0</v>
      </c>
      <c r="J91" s="87">
        <f t="shared" si="16"/>
        <v>0</v>
      </c>
    </row>
    <row r="92" spans="1:10" ht="21.95" customHeight="1" outlineLevel="1">
      <c r="B92" s="73"/>
      <c r="C92" s="74"/>
      <c r="D92" s="78" t="s">
        <v>454</v>
      </c>
      <c r="E92" s="76"/>
      <c r="F92" s="76"/>
      <c r="G92" s="77"/>
      <c r="H92" s="76"/>
      <c r="I92" s="77"/>
      <c r="J92" s="61">
        <f t="shared" si="16"/>
        <v>0</v>
      </c>
    </row>
    <row r="93" spans="1:10" ht="21.95" customHeight="1" outlineLevel="2">
      <c r="A93" s="79" t="s">
        <v>455</v>
      </c>
      <c r="B93" s="73"/>
      <c r="C93" s="74" t="s">
        <v>456</v>
      </c>
      <c r="D93" s="80" t="s">
        <v>457</v>
      </c>
      <c r="E93" s="76"/>
      <c r="F93" s="76"/>
      <c r="G93" s="77"/>
      <c r="H93" s="76">
        <f t="shared" ref="H93:I94" si="19">F93-E93</f>
        <v>0</v>
      </c>
      <c r="I93" s="77">
        <f t="shared" si="19"/>
        <v>0</v>
      </c>
      <c r="J93" s="87">
        <f t="shared" si="16"/>
        <v>0</v>
      </c>
    </row>
    <row r="94" spans="1:10" ht="21.95" customHeight="1" outlineLevel="2">
      <c r="A94" s="79" t="s">
        <v>455</v>
      </c>
      <c r="B94" s="73"/>
      <c r="C94" s="74" t="s">
        <v>458</v>
      </c>
      <c r="D94" s="80" t="s">
        <v>459</v>
      </c>
      <c r="E94" s="76"/>
      <c r="F94" s="76"/>
      <c r="G94" s="77"/>
      <c r="H94" s="76">
        <f t="shared" si="19"/>
        <v>0</v>
      </c>
      <c r="I94" s="77">
        <f t="shared" si="19"/>
        <v>0</v>
      </c>
      <c r="J94" s="87">
        <f t="shared" si="16"/>
        <v>0</v>
      </c>
    </row>
    <row r="95" spans="1:10" s="87" customFormat="1" ht="21.95" customHeight="1" outlineLevel="1">
      <c r="A95" s="81" t="s">
        <v>460</v>
      </c>
      <c r="B95" s="82" t="s">
        <v>461</v>
      </c>
      <c r="C95" s="83"/>
      <c r="D95" s="84" t="s">
        <v>462</v>
      </c>
      <c r="E95" s="85">
        <f>SUBTOTAL(9,E93:E94)</f>
        <v>0</v>
      </c>
      <c r="F95" s="85">
        <f>SUBTOTAL(9,F93:F94)</f>
        <v>0</v>
      </c>
      <c r="G95" s="86">
        <f>SUBTOTAL(9,G93:G94)</f>
        <v>0</v>
      </c>
      <c r="H95" s="85">
        <f>SUBTOTAL(9,H93:H94)</f>
        <v>0</v>
      </c>
      <c r="I95" s="86">
        <f>SUBTOTAL(9,I93:I94)</f>
        <v>0</v>
      </c>
      <c r="J95" s="87">
        <f t="shared" si="16"/>
        <v>0</v>
      </c>
    </row>
    <row r="96" spans="1:10" ht="21.95" customHeight="1" outlineLevel="2">
      <c r="A96" s="79" t="s">
        <v>463</v>
      </c>
      <c r="B96" s="73"/>
      <c r="C96" s="74" t="s">
        <v>464</v>
      </c>
      <c r="D96" s="80" t="s">
        <v>465</v>
      </c>
      <c r="E96" s="76"/>
      <c r="F96" s="76"/>
      <c r="G96" s="77"/>
      <c r="H96" s="76">
        <f t="shared" ref="H96:I98" si="20">F96-E96</f>
        <v>0</v>
      </c>
      <c r="I96" s="77">
        <f t="shared" si="20"/>
        <v>0</v>
      </c>
      <c r="J96" s="87">
        <f t="shared" si="16"/>
        <v>0</v>
      </c>
    </row>
    <row r="97" spans="1:10" ht="21.95" customHeight="1" outlineLevel="2">
      <c r="A97" s="79" t="s">
        <v>463</v>
      </c>
      <c r="B97" s="73"/>
      <c r="C97" s="74" t="s">
        <v>466</v>
      </c>
      <c r="D97" s="80" t="s">
        <v>467</v>
      </c>
      <c r="E97" s="76"/>
      <c r="F97" s="76"/>
      <c r="G97" s="77"/>
      <c r="H97" s="76">
        <f t="shared" si="20"/>
        <v>0</v>
      </c>
      <c r="I97" s="77">
        <f t="shared" si="20"/>
        <v>0</v>
      </c>
      <c r="J97" s="87">
        <f t="shared" si="16"/>
        <v>0</v>
      </c>
    </row>
    <row r="98" spans="1:10" ht="21.95" customHeight="1" outlineLevel="2">
      <c r="A98" s="79" t="s">
        <v>463</v>
      </c>
      <c r="B98" s="73"/>
      <c r="C98" s="74" t="s">
        <v>468</v>
      </c>
      <c r="D98" s="80" t="s">
        <v>469</v>
      </c>
      <c r="E98" s="76"/>
      <c r="F98" s="76"/>
      <c r="G98" s="77"/>
      <c r="H98" s="76">
        <f t="shared" si="20"/>
        <v>0</v>
      </c>
      <c r="I98" s="77">
        <f t="shared" si="20"/>
        <v>0</v>
      </c>
      <c r="J98" s="87">
        <f t="shared" si="16"/>
        <v>0</v>
      </c>
    </row>
    <row r="99" spans="1:10" s="87" customFormat="1" ht="21.95" customHeight="1" outlineLevel="1">
      <c r="A99" s="81" t="s">
        <v>470</v>
      </c>
      <c r="B99" s="82" t="s">
        <v>471</v>
      </c>
      <c r="C99" s="83"/>
      <c r="D99" s="84" t="s">
        <v>472</v>
      </c>
      <c r="E99" s="85">
        <f>SUBTOTAL(9,E96:E98)</f>
        <v>0</v>
      </c>
      <c r="F99" s="85">
        <f>SUBTOTAL(9,F96:F98)</f>
        <v>0</v>
      </c>
      <c r="G99" s="86">
        <f>SUBTOTAL(9,G96:G98)</f>
        <v>0</v>
      </c>
      <c r="H99" s="85">
        <f>SUBTOTAL(9,H96:H98)</f>
        <v>0</v>
      </c>
      <c r="I99" s="86">
        <f>SUBTOTAL(9,I96:I98)</f>
        <v>0</v>
      </c>
      <c r="J99" s="87">
        <f t="shared" si="16"/>
        <v>0</v>
      </c>
    </row>
    <row r="100" spans="1:10" ht="21.95" customHeight="1" outlineLevel="2">
      <c r="A100" s="79" t="s">
        <v>473</v>
      </c>
      <c r="B100" s="73"/>
      <c r="C100" s="74" t="s">
        <v>474</v>
      </c>
      <c r="D100" s="80" t="s">
        <v>475</v>
      </c>
      <c r="E100" s="76"/>
      <c r="F100" s="76"/>
      <c r="G100" s="77"/>
      <c r="H100" s="76">
        <f t="shared" ref="H100:I101" si="21">F100-E100</f>
        <v>0</v>
      </c>
      <c r="I100" s="77">
        <f t="shared" si="21"/>
        <v>0</v>
      </c>
      <c r="J100" s="87">
        <f t="shared" si="16"/>
        <v>0</v>
      </c>
    </row>
    <row r="101" spans="1:10" ht="21.95" customHeight="1" outlineLevel="2">
      <c r="A101" s="79" t="s">
        <v>473</v>
      </c>
      <c r="B101" s="73"/>
      <c r="C101" s="74" t="s">
        <v>476</v>
      </c>
      <c r="D101" s="80" t="s">
        <v>477</v>
      </c>
      <c r="E101" s="76"/>
      <c r="F101" s="76"/>
      <c r="G101" s="77"/>
      <c r="H101" s="76">
        <f t="shared" si="21"/>
        <v>0</v>
      </c>
      <c r="I101" s="77">
        <f t="shared" si="21"/>
        <v>0</v>
      </c>
      <c r="J101" s="87">
        <f t="shared" si="16"/>
        <v>0</v>
      </c>
    </row>
    <row r="102" spans="1:10" s="87" customFormat="1" ht="21.95" customHeight="1" outlineLevel="1">
      <c r="A102" s="81" t="s">
        <v>478</v>
      </c>
      <c r="B102" s="82" t="s">
        <v>479</v>
      </c>
      <c r="C102" s="83"/>
      <c r="D102" s="84" t="s">
        <v>480</v>
      </c>
      <c r="E102" s="85">
        <f>SUBTOTAL(9,E100:E101)</f>
        <v>0</v>
      </c>
      <c r="F102" s="85">
        <f>SUBTOTAL(9,F100:F101)</f>
        <v>0</v>
      </c>
      <c r="G102" s="86">
        <f>SUBTOTAL(9,G100:G101)</f>
        <v>0</v>
      </c>
      <c r="H102" s="85">
        <f>SUBTOTAL(9,H100:H101)</f>
        <v>0</v>
      </c>
      <c r="I102" s="86">
        <f>SUBTOTAL(9,I100:I101)</f>
        <v>0</v>
      </c>
      <c r="J102" s="87">
        <f t="shared" si="16"/>
        <v>0</v>
      </c>
    </row>
    <row r="103" spans="1:10" ht="21.95" customHeight="1" outlineLevel="2">
      <c r="A103" s="79" t="s">
        <v>481</v>
      </c>
      <c r="B103" s="73"/>
      <c r="C103" s="74" t="s">
        <v>482</v>
      </c>
      <c r="D103" s="80" t="s">
        <v>483</v>
      </c>
      <c r="E103" s="76">
        <v>0</v>
      </c>
      <c r="F103" s="76"/>
      <c r="G103" s="77"/>
      <c r="H103" s="76">
        <f t="shared" ref="H103:I104" si="22">F103-E103</f>
        <v>0</v>
      </c>
      <c r="I103" s="77">
        <f t="shared" si="22"/>
        <v>0</v>
      </c>
      <c r="J103" s="87">
        <f t="shared" si="16"/>
        <v>0</v>
      </c>
    </row>
    <row r="104" spans="1:10" ht="21.95" customHeight="1" outlineLevel="2">
      <c r="A104" s="79" t="s">
        <v>481</v>
      </c>
      <c r="B104" s="73"/>
      <c r="C104" s="74" t="s">
        <v>484</v>
      </c>
      <c r="D104" s="80" t="s">
        <v>485</v>
      </c>
      <c r="E104" s="76">
        <v>0</v>
      </c>
      <c r="F104" s="76"/>
      <c r="G104" s="77"/>
      <c r="H104" s="76">
        <f>F104-E104</f>
        <v>0</v>
      </c>
      <c r="I104" s="77">
        <f t="shared" si="22"/>
        <v>0</v>
      </c>
      <c r="J104" s="87">
        <f t="shared" si="16"/>
        <v>0</v>
      </c>
    </row>
    <row r="105" spans="1:10" s="87" customFormat="1" ht="21.95" customHeight="1" outlineLevel="1">
      <c r="A105" s="81" t="s">
        <v>486</v>
      </c>
      <c r="B105" s="82" t="s">
        <v>487</v>
      </c>
      <c r="C105" s="83"/>
      <c r="D105" s="84" t="s">
        <v>488</v>
      </c>
      <c r="E105" s="85">
        <f>SUBTOTAL(9,E103:E104)</f>
        <v>0</v>
      </c>
      <c r="F105" s="85">
        <f>SUBTOTAL(9,F103:F104)</f>
        <v>0</v>
      </c>
      <c r="G105" s="86">
        <f>SUBTOTAL(9,G103:G104)</f>
        <v>0</v>
      </c>
      <c r="H105" s="85">
        <f>SUBTOTAL(9,H103:H104)</f>
        <v>0</v>
      </c>
      <c r="I105" s="86">
        <f>SUBTOTAL(9,I103:I104)</f>
        <v>0</v>
      </c>
      <c r="J105" s="87">
        <f t="shared" si="16"/>
        <v>0</v>
      </c>
    </row>
    <row r="106" spans="1:10" ht="21.95" customHeight="1" outlineLevel="2">
      <c r="A106" s="79" t="s">
        <v>489</v>
      </c>
      <c r="B106" s="73"/>
      <c r="C106" s="74" t="s">
        <v>490</v>
      </c>
      <c r="D106" s="80" t="s">
        <v>491</v>
      </c>
      <c r="E106" s="76">
        <v>0</v>
      </c>
      <c r="F106" s="76">
        <v>0</v>
      </c>
      <c r="G106" s="77">
        <v>0</v>
      </c>
      <c r="H106" s="76">
        <f>F106-E106</f>
        <v>0</v>
      </c>
      <c r="I106" s="77">
        <f t="shared" ref="I106:I107" si="23">G106-F106</f>
        <v>0</v>
      </c>
      <c r="J106" s="87">
        <f t="shared" si="16"/>
        <v>0</v>
      </c>
    </row>
    <row r="107" spans="1:10" ht="21.95" customHeight="1" outlineLevel="2">
      <c r="A107" s="79" t="s">
        <v>489</v>
      </c>
      <c r="B107" s="73"/>
      <c r="C107" s="74" t="s">
        <v>492</v>
      </c>
      <c r="D107" s="80" t="s">
        <v>493</v>
      </c>
      <c r="E107" s="76"/>
      <c r="F107" s="76"/>
      <c r="G107" s="77"/>
      <c r="H107" s="76">
        <f>F107-E107</f>
        <v>0</v>
      </c>
      <c r="I107" s="77">
        <f t="shared" si="23"/>
        <v>0</v>
      </c>
      <c r="J107" s="87">
        <f t="shared" si="16"/>
        <v>0</v>
      </c>
    </row>
    <row r="108" spans="1:10" s="87" customFormat="1" ht="21.95" customHeight="1" outlineLevel="1">
      <c r="A108" s="81" t="s">
        <v>494</v>
      </c>
      <c r="B108" s="82" t="s">
        <v>495</v>
      </c>
      <c r="C108" s="83"/>
      <c r="D108" s="84" t="s">
        <v>496</v>
      </c>
      <c r="E108" s="85">
        <f>SUBTOTAL(9,E106:E107)</f>
        <v>0</v>
      </c>
      <c r="F108" s="85">
        <f>SUBTOTAL(9,F106:F107)</f>
        <v>0</v>
      </c>
      <c r="G108" s="86">
        <f>SUBTOTAL(9,G106:G107)</f>
        <v>0</v>
      </c>
      <c r="H108" s="85">
        <f>SUBTOTAL(9,H106:H107)</f>
        <v>0</v>
      </c>
      <c r="I108" s="86">
        <f>SUBTOTAL(9,I106:I107)</f>
        <v>0</v>
      </c>
      <c r="J108" s="87">
        <f t="shared" si="16"/>
        <v>0</v>
      </c>
    </row>
    <row r="109" spans="1:10" ht="21.95" customHeight="1" outlineLevel="2">
      <c r="A109" s="79" t="s">
        <v>497</v>
      </c>
      <c r="B109" s="73"/>
      <c r="C109" s="74" t="s">
        <v>498</v>
      </c>
      <c r="D109" s="80" t="s">
        <v>499</v>
      </c>
      <c r="E109" s="76">
        <v>0</v>
      </c>
      <c r="F109" s="76">
        <v>0</v>
      </c>
      <c r="G109" s="77">
        <v>0</v>
      </c>
      <c r="H109" s="76">
        <f>F109-E109</f>
        <v>0</v>
      </c>
      <c r="I109" s="77">
        <f t="shared" ref="I109:I110" si="24">G109-F109</f>
        <v>0</v>
      </c>
      <c r="J109" s="87">
        <f t="shared" si="16"/>
        <v>0</v>
      </c>
    </row>
    <row r="110" spans="1:10" ht="21.95" customHeight="1" outlineLevel="2">
      <c r="A110" s="79" t="s">
        <v>497</v>
      </c>
      <c r="B110" s="73"/>
      <c r="C110" s="74" t="s">
        <v>500</v>
      </c>
      <c r="D110" s="80" t="s">
        <v>501</v>
      </c>
      <c r="E110" s="76"/>
      <c r="F110" s="76"/>
      <c r="G110" s="77"/>
      <c r="H110" s="76">
        <f>F110-E110</f>
        <v>0</v>
      </c>
      <c r="I110" s="77">
        <f t="shared" si="24"/>
        <v>0</v>
      </c>
      <c r="J110" s="87">
        <f t="shared" si="16"/>
        <v>0</v>
      </c>
    </row>
    <row r="111" spans="1:10" s="87" customFormat="1" ht="21.95" customHeight="1" outlineLevel="1">
      <c r="A111" s="81" t="s">
        <v>502</v>
      </c>
      <c r="B111" s="82" t="s">
        <v>503</v>
      </c>
      <c r="C111" s="83"/>
      <c r="D111" s="84" t="s">
        <v>504</v>
      </c>
      <c r="E111" s="85">
        <f>SUBTOTAL(9,E109:E110)</f>
        <v>0</v>
      </c>
      <c r="F111" s="85">
        <f>SUBTOTAL(9,F109:F110)</f>
        <v>0</v>
      </c>
      <c r="G111" s="86">
        <f>SUBTOTAL(9,G109:G110)</f>
        <v>0</v>
      </c>
      <c r="H111" s="85">
        <f>SUBTOTAL(9,H109:H110)</f>
        <v>0</v>
      </c>
      <c r="I111" s="86">
        <f>SUBTOTAL(9,I109:I110)</f>
        <v>0</v>
      </c>
      <c r="J111" s="87">
        <f t="shared" si="16"/>
        <v>0</v>
      </c>
    </row>
    <row r="112" spans="1:10" ht="21.95" customHeight="1" outlineLevel="2">
      <c r="A112" s="79" t="s">
        <v>505</v>
      </c>
      <c r="B112" s="73"/>
      <c r="C112" s="74" t="s">
        <v>506</v>
      </c>
      <c r="D112" s="80" t="s">
        <v>507</v>
      </c>
      <c r="E112" s="76"/>
      <c r="F112" s="76"/>
      <c r="G112" s="77"/>
      <c r="H112" s="76">
        <f>F112-E112</f>
        <v>0</v>
      </c>
      <c r="I112" s="77">
        <f t="shared" ref="I112:I113" si="25">G112-F112</f>
        <v>0</v>
      </c>
      <c r="J112" s="87">
        <f t="shared" si="16"/>
        <v>0</v>
      </c>
    </row>
    <row r="113" spans="1:10" ht="21.95" customHeight="1" outlineLevel="2">
      <c r="A113" s="79" t="s">
        <v>505</v>
      </c>
      <c r="B113" s="73"/>
      <c r="C113" s="74" t="s">
        <v>508</v>
      </c>
      <c r="D113" s="80" t="s">
        <v>509</v>
      </c>
      <c r="E113" s="76"/>
      <c r="F113" s="76">
        <v>0</v>
      </c>
      <c r="G113" s="77">
        <v>0</v>
      </c>
      <c r="H113" s="76">
        <f>F113-E113</f>
        <v>0</v>
      </c>
      <c r="I113" s="77">
        <f t="shared" si="25"/>
        <v>0</v>
      </c>
      <c r="J113" s="87">
        <f t="shared" si="16"/>
        <v>0</v>
      </c>
    </row>
    <row r="114" spans="1:10" s="87" customFormat="1" ht="21.95" customHeight="1" outlineLevel="1">
      <c r="A114" s="81" t="s">
        <v>510</v>
      </c>
      <c r="B114" s="82" t="s">
        <v>511</v>
      </c>
      <c r="C114" s="83"/>
      <c r="D114" s="84" t="s">
        <v>512</v>
      </c>
      <c r="E114" s="85">
        <f>SUBTOTAL(9,E112:E113)</f>
        <v>0</v>
      </c>
      <c r="F114" s="85">
        <f>SUBTOTAL(9,F112:F113)</f>
        <v>0</v>
      </c>
      <c r="G114" s="86">
        <f>SUBTOTAL(9,G112:G113)</f>
        <v>0</v>
      </c>
      <c r="H114" s="85">
        <f>SUBTOTAL(9,H112:H113)</f>
        <v>0</v>
      </c>
      <c r="I114" s="86">
        <f>SUBTOTAL(9,I112:I113)</f>
        <v>0</v>
      </c>
      <c r="J114" s="87">
        <f t="shared" si="16"/>
        <v>0</v>
      </c>
    </row>
    <row r="115" spans="1:10" ht="21.95" customHeight="1" outlineLevel="2">
      <c r="A115" s="79" t="s">
        <v>513</v>
      </c>
      <c r="B115" s="73"/>
      <c r="C115" s="74" t="s">
        <v>514</v>
      </c>
      <c r="D115" s="80" t="s">
        <v>515</v>
      </c>
      <c r="E115" s="76"/>
      <c r="F115" s="76"/>
      <c r="G115" s="77"/>
      <c r="H115" s="76">
        <f>F115-E115</f>
        <v>0</v>
      </c>
      <c r="I115" s="77">
        <f t="shared" ref="I115:I122" si="26">G115-F115</f>
        <v>0</v>
      </c>
      <c r="J115" s="87">
        <f t="shared" si="16"/>
        <v>0</v>
      </c>
    </row>
    <row r="116" spans="1:10" ht="21.95" customHeight="1" outlineLevel="2">
      <c r="A116" s="79" t="s">
        <v>513</v>
      </c>
      <c r="B116" s="73"/>
      <c r="C116" s="74" t="s">
        <v>516</v>
      </c>
      <c r="D116" s="80" t="s">
        <v>517</v>
      </c>
      <c r="E116" s="76"/>
      <c r="F116" s="76"/>
      <c r="G116" s="77"/>
      <c r="H116" s="76">
        <f>F116-E116</f>
        <v>0</v>
      </c>
      <c r="I116" s="77">
        <f t="shared" si="26"/>
        <v>0</v>
      </c>
      <c r="J116" s="87">
        <f t="shared" si="16"/>
        <v>0</v>
      </c>
    </row>
    <row r="117" spans="1:10" ht="21.95" customHeight="1" outlineLevel="2">
      <c r="A117" s="79" t="s">
        <v>513</v>
      </c>
      <c r="B117" s="73"/>
      <c r="C117" s="74" t="s">
        <v>518</v>
      </c>
      <c r="D117" s="80" t="s">
        <v>519</v>
      </c>
      <c r="E117" s="76"/>
      <c r="F117" s="76"/>
      <c r="G117" s="77"/>
      <c r="H117" s="76">
        <f>F117-E117</f>
        <v>0</v>
      </c>
      <c r="I117" s="77">
        <f t="shared" si="26"/>
        <v>0</v>
      </c>
      <c r="J117" s="87">
        <f t="shared" si="16"/>
        <v>0</v>
      </c>
    </row>
    <row r="118" spans="1:10" ht="21.95" customHeight="1" outlineLevel="2">
      <c r="A118" s="79" t="s">
        <v>513</v>
      </c>
      <c r="B118" s="73"/>
      <c r="C118" s="74" t="s">
        <v>520</v>
      </c>
      <c r="D118" s="80" t="s">
        <v>521</v>
      </c>
      <c r="E118" s="76"/>
      <c r="F118" s="76"/>
      <c r="G118" s="77"/>
      <c r="H118" s="76">
        <f t="shared" ref="H118:H122" si="27">F118-E118</f>
        <v>0</v>
      </c>
      <c r="I118" s="77">
        <f t="shared" si="26"/>
        <v>0</v>
      </c>
      <c r="J118" s="87">
        <f t="shared" si="16"/>
        <v>0</v>
      </c>
    </row>
    <row r="119" spans="1:10" ht="21.95" customHeight="1" outlineLevel="2">
      <c r="A119" s="79" t="s">
        <v>513</v>
      </c>
      <c r="B119" s="73"/>
      <c r="C119" s="74" t="s">
        <v>522</v>
      </c>
      <c r="D119" s="80" t="s">
        <v>523</v>
      </c>
      <c r="E119" s="76"/>
      <c r="F119" s="76"/>
      <c r="G119" s="77"/>
      <c r="H119" s="76">
        <f t="shared" si="27"/>
        <v>0</v>
      </c>
      <c r="I119" s="77">
        <f t="shared" si="26"/>
        <v>0</v>
      </c>
      <c r="J119" s="87">
        <f t="shared" si="16"/>
        <v>0</v>
      </c>
    </row>
    <row r="120" spans="1:10" ht="21.95" customHeight="1" outlineLevel="2">
      <c r="A120" s="79" t="s">
        <v>513</v>
      </c>
      <c r="B120" s="73"/>
      <c r="C120" s="74" t="s">
        <v>524</v>
      </c>
      <c r="D120" s="80" t="s">
        <v>525</v>
      </c>
      <c r="E120" s="76"/>
      <c r="F120" s="76"/>
      <c r="G120" s="77"/>
      <c r="H120" s="76">
        <f t="shared" si="27"/>
        <v>0</v>
      </c>
      <c r="I120" s="77">
        <f t="shared" si="26"/>
        <v>0</v>
      </c>
      <c r="J120" s="87">
        <f t="shared" si="16"/>
        <v>0</v>
      </c>
    </row>
    <row r="121" spans="1:10" ht="21.95" customHeight="1" outlineLevel="2">
      <c r="A121" s="79" t="s">
        <v>513</v>
      </c>
      <c r="B121" s="73"/>
      <c r="C121" s="74" t="s">
        <v>526</v>
      </c>
      <c r="D121" s="80" t="s">
        <v>527</v>
      </c>
      <c r="E121" s="76"/>
      <c r="F121" s="76"/>
      <c r="G121" s="77"/>
      <c r="H121" s="76">
        <f t="shared" si="27"/>
        <v>0</v>
      </c>
      <c r="I121" s="77">
        <f t="shared" si="26"/>
        <v>0</v>
      </c>
      <c r="J121" s="87">
        <f t="shared" si="16"/>
        <v>0</v>
      </c>
    </row>
    <row r="122" spans="1:10" ht="21.95" customHeight="1" outlineLevel="2">
      <c r="A122" s="79" t="s">
        <v>513</v>
      </c>
      <c r="B122" s="73"/>
      <c r="C122" s="74" t="s">
        <v>528</v>
      </c>
      <c r="D122" s="80" t="s">
        <v>529</v>
      </c>
      <c r="E122" s="76"/>
      <c r="F122" s="76"/>
      <c r="G122" s="77"/>
      <c r="H122" s="76">
        <f t="shared" si="27"/>
        <v>0</v>
      </c>
      <c r="I122" s="77">
        <f t="shared" si="26"/>
        <v>0</v>
      </c>
      <c r="J122" s="87">
        <f t="shared" si="16"/>
        <v>0</v>
      </c>
    </row>
    <row r="123" spans="1:10" s="87" customFormat="1" ht="21.95" customHeight="1" outlineLevel="1">
      <c r="A123" s="81" t="s">
        <v>530</v>
      </c>
      <c r="B123" s="82" t="s">
        <v>531</v>
      </c>
      <c r="C123" s="83"/>
      <c r="D123" s="84" t="s">
        <v>532</v>
      </c>
      <c r="E123" s="85">
        <f>SUBTOTAL(9,E115:E122)</f>
        <v>0</v>
      </c>
      <c r="F123" s="85">
        <f>SUBTOTAL(9,F115:F122)</f>
        <v>0</v>
      </c>
      <c r="G123" s="86">
        <f>SUBTOTAL(9,G115:G122)</f>
        <v>0</v>
      </c>
      <c r="H123" s="85">
        <f>SUBTOTAL(9,H115:H122)</f>
        <v>0</v>
      </c>
      <c r="I123" s="86">
        <f>SUBTOTAL(9,I115:I122)</f>
        <v>0</v>
      </c>
      <c r="J123" s="87">
        <f t="shared" si="16"/>
        <v>0</v>
      </c>
    </row>
    <row r="124" spans="1:10" ht="21.95" customHeight="1" outlineLevel="2">
      <c r="A124" s="79" t="s">
        <v>533</v>
      </c>
      <c r="B124" s="73"/>
      <c r="C124" s="74" t="s">
        <v>534</v>
      </c>
      <c r="D124" s="80" t="s">
        <v>535</v>
      </c>
      <c r="E124" s="76"/>
      <c r="F124" s="76"/>
      <c r="G124" s="77"/>
      <c r="H124" s="76">
        <f t="shared" ref="H124:I139" si="28">F124-E124</f>
        <v>0</v>
      </c>
      <c r="I124" s="77">
        <f t="shared" si="28"/>
        <v>0</v>
      </c>
      <c r="J124" s="87">
        <f t="shared" si="16"/>
        <v>0</v>
      </c>
    </row>
    <row r="125" spans="1:10" ht="21.95" customHeight="1" outlineLevel="2">
      <c r="A125" s="79" t="s">
        <v>533</v>
      </c>
      <c r="B125" s="73"/>
      <c r="C125" s="74" t="s">
        <v>536</v>
      </c>
      <c r="D125" s="80" t="s">
        <v>537</v>
      </c>
      <c r="E125" s="76"/>
      <c r="F125" s="76"/>
      <c r="G125" s="77"/>
      <c r="H125" s="76">
        <f t="shared" si="28"/>
        <v>0</v>
      </c>
      <c r="I125" s="77">
        <f t="shared" si="28"/>
        <v>0</v>
      </c>
      <c r="J125" s="87">
        <f t="shared" si="16"/>
        <v>0</v>
      </c>
    </row>
    <row r="126" spans="1:10" ht="21.95" customHeight="1" outlineLevel="2">
      <c r="A126" s="79" t="s">
        <v>533</v>
      </c>
      <c r="B126" s="73"/>
      <c r="C126" s="74" t="s">
        <v>538</v>
      </c>
      <c r="D126" s="80" t="s">
        <v>539</v>
      </c>
      <c r="E126" s="76"/>
      <c r="F126" s="76"/>
      <c r="G126" s="77"/>
      <c r="H126" s="76">
        <f t="shared" si="28"/>
        <v>0</v>
      </c>
      <c r="I126" s="77">
        <f t="shared" si="28"/>
        <v>0</v>
      </c>
      <c r="J126" s="87">
        <f t="shared" si="16"/>
        <v>0</v>
      </c>
    </row>
    <row r="127" spans="1:10" ht="21.95" customHeight="1" outlineLevel="2">
      <c r="A127" s="79" t="s">
        <v>533</v>
      </c>
      <c r="B127" s="73"/>
      <c r="C127" s="74" t="s">
        <v>540</v>
      </c>
      <c r="D127" s="80" t="s">
        <v>541</v>
      </c>
      <c r="E127" s="76"/>
      <c r="F127" s="76"/>
      <c r="G127" s="77"/>
      <c r="H127" s="76">
        <f t="shared" si="28"/>
        <v>0</v>
      </c>
      <c r="I127" s="77">
        <f t="shared" si="28"/>
        <v>0</v>
      </c>
      <c r="J127" s="87">
        <f t="shared" si="16"/>
        <v>0</v>
      </c>
    </row>
    <row r="128" spans="1:10" ht="21.95" customHeight="1" outlineLevel="2">
      <c r="A128" s="79" t="s">
        <v>533</v>
      </c>
      <c r="B128" s="73"/>
      <c r="C128" s="74" t="s">
        <v>542</v>
      </c>
      <c r="D128" s="80" t="s">
        <v>543</v>
      </c>
      <c r="E128" s="76"/>
      <c r="F128" s="76"/>
      <c r="G128" s="77"/>
      <c r="H128" s="76">
        <f t="shared" si="28"/>
        <v>0</v>
      </c>
      <c r="I128" s="77">
        <f t="shared" si="28"/>
        <v>0</v>
      </c>
      <c r="J128" s="87">
        <f t="shared" si="16"/>
        <v>0</v>
      </c>
    </row>
    <row r="129" spans="1:10" ht="21.95" customHeight="1" outlineLevel="2">
      <c r="A129" s="79" t="s">
        <v>533</v>
      </c>
      <c r="B129" s="73"/>
      <c r="C129" s="74" t="s">
        <v>544</v>
      </c>
      <c r="D129" s="80" t="s">
        <v>545</v>
      </c>
      <c r="E129" s="76"/>
      <c r="F129" s="76"/>
      <c r="G129" s="77"/>
      <c r="H129" s="76">
        <f t="shared" si="28"/>
        <v>0</v>
      </c>
      <c r="I129" s="77">
        <f t="shared" si="28"/>
        <v>0</v>
      </c>
      <c r="J129" s="87">
        <f t="shared" si="16"/>
        <v>0</v>
      </c>
    </row>
    <row r="130" spans="1:10" ht="21.95" customHeight="1" outlineLevel="2">
      <c r="A130" s="79" t="s">
        <v>533</v>
      </c>
      <c r="B130" s="73"/>
      <c r="C130" s="74" t="s">
        <v>546</v>
      </c>
      <c r="D130" s="80" t="s">
        <v>547</v>
      </c>
      <c r="E130" s="76"/>
      <c r="F130" s="76"/>
      <c r="G130" s="77"/>
      <c r="H130" s="76">
        <f t="shared" si="28"/>
        <v>0</v>
      </c>
      <c r="I130" s="77">
        <f t="shared" si="28"/>
        <v>0</v>
      </c>
      <c r="J130" s="87">
        <f t="shared" si="16"/>
        <v>0</v>
      </c>
    </row>
    <row r="131" spans="1:10" ht="21.95" customHeight="1" outlineLevel="2">
      <c r="A131" s="79" t="s">
        <v>533</v>
      </c>
      <c r="B131" s="73"/>
      <c r="C131" s="74" t="s">
        <v>548</v>
      </c>
      <c r="D131" s="80" t="s">
        <v>549</v>
      </c>
      <c r="E131" s="76">
        <v>0</v>
      </c>
      <c r="F131" s="76">
        <v>0</v>
      </c>
      <c r="G131" s="77">
        <v>0</v>
      </c>
      <c r="H131" s="76">
        <f t="shared" si="28"/>
        <v>0</v>
      </c>
      <c r="I131" s="77">
        <f t="shared" si="28"/>
        <v>0</v>
      </c>
      <c r="J131" s="87">
        <f t="shared" si="16"/>
        <v>0</v>
      </c>
    </row>
    <row r="132" spans="1:10" ht="21.95" customHeight="1" outlineLevel="2">
      <c r="A132" s="79" t="s">
        <v>533</v>
      </c>
      <c r="B132" s="73"/>
      <c r="C132" s="74" t="s">
        <v>550</v>
      </c>
      <c r="D132" s="80" t="s">
        <v>551</v>
      </c>
      <c r="E132" s="76">
        <v>0</v>
      </c>
      <c r="F132" s="76">
        <v>0</v>
      </c>
      <c r="G132" s="77">
        <v>0</v>
      </c>
      <c r="H132" s="76">
        <f t="shared" si="28"/>
        <v>0</v>
      </c>
      <c r="I132" s="77">
        <f t="shared" si="28"/>
        <v>0</v>
      </c>
      <c r="J132" s="87">
        <f t="shared" si="16"/>
        <v>0</v>
      </c>
    </row>
    <row r="133" spans="1:10" ht="21.95" customHeight="1" outlineLevel="2">
      <c r="A133" s="79" t="s">
        <v>533</v>
      </c>
      <c r="B133" s="73"/>
      <c r="C133" s="74" t="s">
        <v>552</v>
      </c>
      <c r="D133" s="80" t="s">
        <v>553</v>
      </c>
      <c r="E133" s="76"/>
      <c r="F133" s="76"/>
      <c r="G133" s="77"/>
      <c r="H133" s="76">
        <f t="shared" si="28"/>
        <v>0</v>
      </c>
      <c r="I133" s="77">
        <f t="shared" si="28"/>
        <v>0</v>
      </c>
      <c r="J133" s="87">
        <f t="shared" si="16"/>
        <v>0</v>
      </c>
    </row>
    <row r="134" spans="1:10" ht="21.95" customHeight="1" outlineLevel="2">
      <c r="A134" s="79" t="s">
        <v>533</v>
      </c>
      <c r="B134" s="73"/>
      <c r="C134" s="74" t="s">
        <v>554</v>
      </c>
      <c r="D134" s="80" t="s">
        <v>555</v>
      </c>
      <c r="E134" s="76">
        <v>0</v>
      </c>
      <c r="F134" s="76">
        <v>0</v>
      </c>
      <c r="G134" s="77">
        <v>0</v>
      </c>
      <c r="H134" s="76">
        <f t="shared" si="28"/>
        <v>0</v>
      </c>
      <c r="I134" s="77">
        <f t="shared" si="28"/>
        <v>0</v>
      </c>
      <c r="J134" s="87">
        <f t="shared" si="16"/>
        <v>0</v>
      </c>
    </row>
    <row r="135" spans="1:10" ht="21.95" customHeight="1" outlineLevel="2">
      <c r="A135" s="79" t="s">
        <v>533</v>
      </c>
      <c r="B135" s="73"/>
      <c r="C135" s="74" t="s">
        <v>556</v>
      </c>
      <c r="D135" s="80" t="s">
        <v>557</v>
      </c>
      <c r="E135" s="76"/>
      <c r="F135" s="76">
        <v>0</v>
      </c>
      <c r="G135" s="77">
        <v>0</v>
      </c>
      <c r="H135" s="76">
        <f t="shared" si="28"/>
        <v>0</v>
      </c>
      <c r="I135" s="77">
        <f t="shared" si="28"/>
        <v>0</v>
      </c>
      <c r="J135" s="87">
        <f t="shared" si="16"/>
        <v>0</v>
      </c>
    </row>
    <row r="136" spans="1:10" ht="21.95" customHeight="1" outlineLevel="2">
      <c r="A136" s="79" t="s">
        <v>533</v>
      </c>
      <c r="B136" s="73"/>
      <c r="C136" s="74" t="s">
        <v>558</v>
      </c>
      <c r="D136" s="80" t="s">
        <v>559</v>
      </c>
      <c r="E136" s="76"/>
      <c r="F136" s="76"/>
      <c r="G136" s="77"/>
      <c r="H136" s="76">
        <f t="shared" si="28"/>
        <v>0</v>
      </c>
      <c r="I136" s="77">
        <f t="shared" si="28"/>
        <v>0</v>
      </c>
      <c r="J136" s="87">
        <f t="shared" si="16"/>
        <v>0</v>
      </c>
    </row>
    <row r="137" spans="1:10" ht="21.95" customHeight="1" outlineLevel="2">
      <c r="A137" s="79" t="s">
        <v>533</v>
      </c>
      <c r="B137" s="73"/>
      <c r="C137" s="74" t="s">
        <v>560</v>
      </c>
      <c r="D137" s="80" t="s">
        <v>561</v>
      </c>
      <c r="E137" s="76"/>
      <c r="F137" s="76"/>
      <c r="G137" s="77"/>
      <c r="H137" s="76">
        <f t="shared" si="28"/>
        <v>0</v>
      </c>
      <c r="I137" s="77">
        <f t="shared" si="28"/>
        <v>0</v>
      </c>
      <c r="J137" s="87">
        <f t="shared" si="16"/>
        <v>0</v>
      </c>
    </row>
    <row r="138" spans="1:10" ht="21.95" customHeight="1" outlineLevel="2">
      <c r="A138" s="79" t="s">
        <v>533</v>
      </c>
      <c r="B138" s="73"/>
      <c r="C138" s="74" t="s">
        <v>562</v>
      </c>
      <c r="D138" s="80" t="s">
        <v>563</v>
      </c>
      <c r="E138" s="76"/>
      <c r="F138" s="76"/>
      <c r="G138" s="77"/>
      <c r="H138" s="76">
        <f t="shared" si="28"/>
        <v>0</v>
      </c>
      <c r="I138" s="77">
        <f t="shared" si="28"/>
        <v>0</v>
      </c>
      <c r="J138" s="87">
        <f t="shared" ref="J138:J199" si="29">SUM(E138:I138)</f>
        <v>0</v>
      </c>
    </row>
    <row r="139" spans="1:10" ht="21.95" customHeight="1" outlineLevel="2">
      <c r="A139" s="79" t="s">
        <v>533</v>
      </c>
      <c r="B139" s="73"/>
      <c r="C139" s="74" t="s">
        <v>564</v>
      </c>
      <c r="D139" s="80" t="s">
        <v>565</v>
      </c>
      <c r="E139" s="76"/>
      <c r="F139" s="76"/>
      <c r="G139" s="77"/>
      <c r="H139" s="76">
        <f t="shared" si="28"/>
        <v>0</v>
      </c>
      <c r="I139" s="77">
        <f t="shared" si="28"/>
        <v>0</v>
      </c>
      <c r="J139" s="87">
        <f t="shared" si="29"/>
        <v>0</v>
      </c>
    </row>
    <row r="140" spans="1:10" ht="21.95" customHeight="1" outlineLevel="2">
      <c r="A140" s="79" t="s">
        <v>533</v>
      </c>
      <c r="B140" s="73"/>
      <c r="C140" s="74" t="s">
        <v>566</v>
      </c>
      <c r="D140" s="80" t="s">
        <v>567</v>
      </c>
      <c r="E140" s="76"/>
      <c r="F140" s="76"/>
      <c r="G140" s="77"/>
      <c r="H140" s="76">
        <f t="shared" ref="H140:I150" si="30">F140-E140</f>
        <v>0</v>
      </c>
      <c r="I140" s="77">
        <f t="shared" si="30"/>
        <v>0</v>
      </c>
      <c r="J140" s="87">
        <f t="shared" si="29"/>
        <v>0</v>
      </c>
    </row>
    <row r="141" spans="1:10" ht="21.95" customHeight="1" outlineLevel="2">
      <c r="A141" s="79" t="s">
        <v>533</v>
      </c>
      <c r="B141" s="73"/>
      <c r="C141" s="74" t="s">
        <v>568</v>
      </c>
      <c r="D141" s="80" t="s">
        <v>569</v>
      </c>
      <c r="E141" s="76"/>
      <c r="F141" s="76"/>
      <c r="G141" s="77"/>
      <c r="H141" s="76">
        <f t="shared" si="30"/>
        <v>0</v>
      </c>
      <c r="I141" s="77">
        <f t="shared" si="30"/>
        <v>0</v>
      </c>
      <c r="J141" s="87">
        <f t="shared" si="29"/>
        <v>0</v>
      </c>
    </row>
    <row r="142" spans="1:10" ht="21.95" customHeight="1" outlineLevel="2">
      <c r="A142" s="79" t="s">
        <v>533</v>
      </c>
      <c r="B142" s="73"/>
      <c r="C142" s="74" t="s">
        <v>570</v>
      </c>
      <c r="D142" s="80" t="s">
        <v>571</v>
      </c>
      <c r="E142" s="76"/>
      <c r="F142" s="76"/>
      <c r="G142" s="77"/>
      <c r="H142" s="76">
        <f t="shared" si="30"/>
        <v>0</v>
      </c>
      <c r="I142" s="77">
        <f t="shared" si="30"/>
        <v>0</v>
      </c>
      <c r="J142" s="87">
        <f t="shared" si="29"/>
        <v>0</v>
      </c>
    </row>
    <row r="143" spans="1:10" ht="21.95" customHeight="1" outlineLevel="2">
      <c r="A143" s="79" t="s">
        <v>533</v>
      </c>
      <c r="B143" s="73"/>
      <c r="C143" s="74" t="s">
        <v>572</v>
      </c>
      <c r="D143" s="80" t="s">
        <v>573</v>
      </c>
      <c r="E143" s="76"/>
      <c r="F143" s="76"/>
      <c r="G143" s="77"/>
      <c r="H143" s="76">
        <f t="shared" si="30"/>
        <v>0</v>
      </c>
      <c r="I143" s="77">
        <f t="shared" si="30"/>
        <v>0</v>
      </c>
      <c r="J143" s="87">
        <f t="shared" si="29"/>
        <v>0</v>
      </c>
    </row>
    <row r="144" spans="1:10" ht="21.95" customHeight="1" outlineLevel="2">
      <c r="A144" s="79" t="s">
        <v>533</v>
      </c>
      <c r="B144" s="73"/>
      <c r="C144" s="74" t="s">
        <v>574</v>
      </c>
      <c r="D144" s="80" t="s">
        <v>575</v>
      </c>
      <c r="E144" s="76"/>
      <c r="F144" s="76"/>
      <c r="G144" s="77"/>
      <c r="H144" s="76">
        <f t="shared" si="30"/>
        <v>0</v>
      </c>
      <c r="I144" s="77">
        <f t="shared" si="30"/>
        <v>0</v>
      </c>
      <c r="J144" s="87">
        <f t="shared" si="29"/>
        <v>0</v>
      </c>
    </row>
    <row r="145" spans="1:10" ht="21.95" customHeight="1" outlineLevel="2">
      <c r="A145" s="79" t="s">
        <v>533</v>
      </c>
      <c r="B145" s="73"/>
      <c r="C145" s="74" t="s">
        <v>576</v>
      </c>
      <c r="D145" s="80" t="s">
        <v>577</v>
      </c>
      <c r="E145" s="76"/>
      <c r="F145" s="76"/>
      <c r="G145" s="77"/>
      <c r="H145" s="76">
        <f t="shared" si="30"/>
        <v>0</v>
      </c>
      <c r="I145" s="77">
        <f t="shared" si="30"/>
        <v>0</v>
      </c>
      <c r="J145" s="87">
        <f t="shared" si="29"/>
        <v>0</v>
      </c>
    </row>
    <row r="146" spans="1:10" ht="21.95" customHeight="1" outlineLevel="2">
      <c r="A146" s="79" t="s">
        <v>533</v>
      </c>
      <c r="B146" s="73"/>
      <c r="C146" s="74" t="s">
        <v>578</v>
      </c>
      <c r="D146" s="80" t="s">
        <v>579</v>
      </c>
      <c r="E146" s="76"/>
      <c r="F146" s="76"/>
      <c r="G146" s="77"/>
      <c r="H146" s="76">
        <f t="shared" si="30"/>
        <v>0</v>
      </c>
      <c r="I146" s="77">
        <f t="shared" si="30"/>
        <v>0</v>
      </c>
      <c r="J146" s="87">
        <f t="shared" si="29"/>
        <v>0</v>
      </c>
    </row>
    <row r="147" spans="1:10" ht="21.95" customHeight="1" outlineLevel="2">
      <c r="A147" s="79" t="s">
        <v>533</v>
      </c>
      <c r="B147" s="73"/>
      <c r="C147" s="74" t="s">
        <v>580</v>
      </c>
      <c r="D147" s="80" t="s">
        <v>581</v>
      </c>
      <c r="E147" s="76"/>
      <c r="F147" s="76"/>
      <c r="G147" s="77"/>
      <c r="H147" s="76">
        <f t="shared" si="30"/>
        <v>0</v>
      </c>
      <c r="I147" s="77">
        <f t="shared" si="30"/>
        <v>0</v>
      </c>
      <c r="J147" s="87">
        <f t="shared" si="29"/>
        <v>0</v>
      </c>
    </row>
    <row r="148" spans="1:10" ht="21.95" customHeight="1" outlineLevel="2">
      <c r="A148" s="79" t="s">
        <v>533</v>
      </c>
      <c r="B148" s="73"/>
      <c r="C148" s="74" t="s">
        <v>582</v>
      </c>
      <c r="D148" s="80" t="s">
        <v>583</v>
      </c>
      <c r="E148" s="76"/>
      <c r="F148" s="76"/>
      <c r="G148" s="77"/>
      <c r="H148" s="76">
        <f t="shared" si="30"/>
        <v>0</v>
      </c>
      <c r="I148" s="77">
        <f t="shared" si="30"/>
        <v>0</v>
      </c>
      <c r="J148" s="87">
        <f t="shared" si="29"/>
        <v>0</v>
      </c>
    </row>
    <row r="149" spans="1:10" ht="21.95" customHeight="1" outlineLevel="2">
      <c r="A149" s="79" t="s">
        <v>533</v>
      </c>
      <c r="B149" s="73"/>
      <c r="C149" s="74" t="s">
        <v>584</v>
      </c>
      <c r="D149" s="80" t="s">
        <v>585</v>
      </c>
      <c r="E149" s="76"/>
      <c r="F149" s="76"/>
      <c r="G149" s="77"/>
      <c r="H149" s="76">
        <f t="shared" si="30"/>
        <v>0</v>
      </c>
      <c r="I149" s="77">
        <f t="shared" si="30"/>
        <v>0</v>
      </c>
      <c r="J149" s="87">
        <f t="shared" si="29"/>
        <v>0</v>
      </c>
    </row>
    <row r="150" spans="1:10" ht="21.95" customHeight="1" outlineLevel="2">
      <c r="A150" s="79" t="s">
        <v>533</v>
      </c>
      <c r="B150" s="73"/>
      <c r="C150" s="74" t="s">
        <v>586</v>
      </c>
      <c r="D150" s="80" t="s">
        <v>587</v>
      </c>
      <c r="E150" s="76"/>
      <c r="F150" s="76"/>
      <c r="G150" s="77"/>
      <c r="H150" s="76">
        <f t="shared" si="30"/>
        <v>0</v>
      </c>
      <c r="I150" s="77">
        <f t="shared" si="30"/>
        <v>0</v>
      </c>
      <c r="J150" s="87">
        <f t="shared" si="29"/>
        <v>0</v>
      </c>
    </row>
    <row r="151" spans="1:10" s="87" customFormat="1" ht="21.95" customHeight="1" outlineLevel="1">
      <c r="A151" s="81" t="s">
        <v>588</v>
      </c>
      <c r="B151" s="94" t="s">
        <v>589</v>
      </c>
      <c r="C151" s="83"/>
      <c r="D151" s="84" t="s">
        <v>590</v>
      </c>
      <c r="E151" s="85">
        <f>SUBTOTAL(9,E124:E150)</f>
        <v>0</v>
      </c>
      <c r="F151" s="85">
        <f>SUBTOTAL(9,F124:F150)</f>
        <v>0</v>
      </c>
      <c r="G151" s="86">
        <f>SUBTOTAL(9,G124:G150)</f>
        <v>0</v>
      </c>
      <c r="H151" s="85">
        <f>SUBTOTAL(9,H124:H150)</f>
        <v>0</v>
      </c>
      <c r="I151" s="86">
        <f>SUBTOTAL(9,I124:I150)</f>
        <v>0</v>
      </c>
      <c r="J151" s="87">
        <f t="shared" si="29"/>
        <v>0</v>
      </c>
    </row>
    <row r="152" spans="1:10" ht="21.95" customHeight="1" outlineLevel="2">
      <c r="A152" s="79" t="s">
        <v>591</v>
      </c>
      <c r="B152" s="73"/>
      <c r="C152" s="74" t="s">
        <v>592</v>
      </c>
      <c r="D152" s="80" t="s">
        <v>593</v>
      </c>
      <c r="E152" s="76"/>
      <c r="F152" s="76"/>
      <c r="G152" s="77"/>
      <c r="H152" s="76">
        <f t="shared" ref="H152:I167" si="31">F152-E152</f>
        <v>0</v>
      </c>
      <c r="I152" s="77">
        <f t="shared" si="31"/>
        <v>0</v>
      </c>
      <c r="J152" s="87">
        <f t="shared" si="29"/>
        <v>0</v>
      </c>
    </row>
    <row r="153" spans="1:10" ht="21.95" customHeight="1" outlineLevel="2">
      <c r="A153" s="79" t="s">
        <v>591</v>
      </c>
      <c r="B153" s="73"/>
      <c r="C153" s="74" t="s">
        <v>594</v>
      </c>
      <c r="D153" s="80" t="s">
        <v>595</v>
      </c>
      <c r="E153" s="76"/>
      <c r="F153" s="76"/>
      <c r="G153" s="77"/>
      <c r="H153" s="76">
        <f t="shared" si="31"/>
        <v>0</v>
      </c>
      <c r="I153" s="77">
        <f t="shared" si="31"/>
        <v>0</v>
      </c>
      <c r="J153" s="87">
        <f t="shared" si="29"/>
        <v>0</v>
      </c>
    </row>
    <row r="154" spans="1:10" ht="21.95" customHeight="1" outlineLevel="2">
      <c r="A154" s="79" t="s">
        <v>591</v>
      </c>
      <c r="B154" s="73"/>
      <c r="C154" s="74" t="s">
        <v>596</v>
      </c>
      <c r="D154" s="80" t="s">
        <v>597</v>
      </c>
      <c r="E154" s="76"/>
      <c r="F154" s="76"/>
      <c r="G154" s="77"/>
      <c r="H154" s="76">
        <f t="shared" si="31"/>
        <v>0</v>
      </c>
      <c r="I154" s="77">
        <f t="shared" si="31"/>
        <v>0</v>
      </c>
      <c r="J154" s="87">
        <f t="shared" si="29"/>
        <v>0</v>
      </c>
    </row>
    <row r="155" spans="1:10" ht="21.95" customHeight="1" outlineLevel="2">
      <c r="A155" s="79" t="s">
        <v>591</v>
      </c>
      <c r="B155" s="73"/>
      <c r="C155" s="74" t="s">
        <v>598</v>
      </c>
      <c r="D155" s="80" t="s">
        <v>599</v>
      </c>
      <c r="E155" s="76"/>
      <c r="F155" s="76"/>
      <c r="G155" s="77"/>
      <c r="H155" s="76">
        <f t="shared" si="31"/>
        <v>0</v>
      </c>
      <c r="I155" s="77">
        <f t="shared" si="31"/>
        <v>0</v>
      </c>
      <c r="J155" s="87">
        <f t="shared" si="29"/>
        <v>0</v>
      </c>
    </row>
    <row r="156" spans="1:10" ht="21.95" customHeight="1" outlineLevel="2">
      <c r="A156" s="79" t="s">
        <v>591</v>
      </c>
      <c r="B156" s="73"/>
      <c r="C156" s="74" t="s">
        <v>600</v>
      </c>
      <c r="D156" s="80" t="s">
        <v>601</v>
      </c>
      <c r="E156" s="76"/>
      <c r="F156" s="76"/>
      <c r="G156" s="77"/>
      <c r="H156" s="76">
        <f t="shared" si="31"/>
        <v>0</v>
      </c>
      <c r="I156" s="77">
        <f t="shared" si="31"/>
        <v>0</v>
      </c>
      <c r="J156" s="87">
        <f t="shared" si="29"/>
        <v>0</v>
      </c>
    </row>
    <row r="157" spans="1:10" ht="21.95" customHeight="1" outlineLevel="2">
      <c r="A157" s="79" t="s">
        <v>591</v>
      </c>
      <c r="B157" s="73"/>
      <c r="C157" s="74" t="s">
        <v>602</v>
      </c>
      <c r="D157" s="80" t="s">
        <v>603</v>
      </c>
      <c r="E157" s="76"/>
      <c r="F157" s="76"/>
      <c r="G157" s="77"/>
      <c r="H157" s="76">
        <f t="shared" si="31"/>
        <v>0</v>
      </c>
      <c r="I157" s="77">
        <f t="shared" si="31"/>
        <v>0</v>
      </c>
      <c r="J157" s="87">
        <f t="shared" si="29"/>
        <v>0</v>
      </c>
    </row>
    <row r="158" spans="1:10" ht="21.95" customHeight="1" outlineLevel="2">
      <c r="A158" s="79" t="s">
        <v>591</v>
      </c>
      <c r="B158" s="73"/>
      <c r="C158" s="74" t="s">
        <v>604</v>
      </c>
      <c r="D158" s="80" t="s">
        <v>605</v>
      </c>
      <c r="E158" s="76"/>
      <c r="F158" s="76"/>
      <c r="G158" s="77"/>
      <c r="H158" s="76">
        <f t="shared" si="31"/>
        <v>0</v>
      </c>
      <c r="I158" s="77">
        <f t="shared" si="31"/>
        <v>0</v>
      </c>
      <c r="J158" s="87">
        <f t="shared" si="29"/>
        <v>0</v>
      </c>
    </row>
    <row r="159" spans="1:10" ht="21.95" customHeight="1" outlineLevel="2">
      <c r="A159" s="79" t="s">
        <v>591</v>
      </c>
      <c r="B159" s="73"/>
      <c r="C159" s="74" t="s">
        <v>606</v>
      </c>
      <c r="D159" s="80" t="s">
        <v>607</v>
      </c>
      <c r="E159" s="76"/>
      <c r="F159" s="76"/>
      <c r="G159" s="77"/>
      <c r="H159" s="76">
        <f t="shared" si="31"/>
        <v>0</v>
      </c>
      <c r="I159" s="77">
        <f t="shared" si="31"/>
        <v>0</v>
      </c>
      <c r="J159" s="87">
        <f t="shared" si="29"/>
        <v>0</v>
      </c>
    </row>
    <row r="160" spans="1:10" ht="21.95" customHeight="1" outlineLevel="2">
      <c r="A160" s="79" t="s">
        <v>591</v>
      </c>
      <c r="B160" s="73"/>
      <c r="C160" s="74" t="s">
        <v>608</v>
      </c>
      <c r="D160" s="80" t="s">
        <v>609</v>
      </c>
      <c r="E160" s="76"/>
      <c r="F160" s="76"/>
      <c r="G160" s="77"/>
      <c r="H160" s="76">
        <f t="shared" si="31"/>
        <v>0</v>
      </c>
      <c r="I160" s="77">
        <f t="shared" si="31"/>
        <v>0</v>
      </c>
      <c r="J160" s="87">
        <f t="shared" si="29"/>
        <v>0</v>
      </c>
    </row>
    <row r="161" spans="1:10" ht="21.95" customHeight="1" outlineLevel="2">
      <c r="A161" s="79" t="s">
        <v>591</v>
      </c>
      <c r="B161" s="73"/>
      <c r="C161" s="74" t="s">
        <v>610</v>
      </c>
      <c r="D161" s="80" t="s">
        <v>611</v>
      </c>
      <c r="E161" s="76"/>
      <c r="F161" s="76"/>
      <c r="G161" s="77"/>
      <c r="H161" s="76">
        <f t="shared" si="31"/>
        <v>0</v>
      </c>
      <c r="I161" s="77">
        <f t="shared" si="31"/>
        <v>0</v>
      </c>
      <c r="J161" s="87">
        <f t="shared" si="29"/>
        <v>0</v>
      </c>
    </row>
    <row r="162" spans="1:10" ht="21.95" customHeight="1" outlineLevel="2">
      <c r="A162" s="79" t="s">
        <v>591</v>
      </c>
      <c r="B162" s="73"/>
      <c r="C162" s="74" t="s">
        <v>612</v>
      </c>
      <c r="D162" s="80" t="s">
        <v>613</v>
      </c>
      <c r="E162" s="76"/>
      <c r="F162" s="76"/>
      <c r="G162" s="77"/>
      <c r="H162" s="76">
        <f t="shared" si="31"/>
        <v>0</v>
      </c>
      <c r="I162" s="77">
        <f t="shared" si="31"/>
        <v>0</v>
      </c>
      <c r="J162" s="87">
        <f t="shared" si="29"/>
        <v>0</v>
      </c>
    </row>
    <row r="163" spans="1:10" ht="21.95" customHeight="1" outlineLevel="2">
      <c r="A163" s="79" t="s">
        <v>591</v>
      </c>
      <c r="B163" s="73"/>
      <c r="C163" s="74" t="s">
        <v>614</v>
      </c>
      <c r="D163" s="80" t="s">
        <v>615</v>
      </c>
      <c r="E163" s="76"/>
      <c r="F163" s="76"/>
      <c r="G163" s="77"/>
      <c r="H163" s="76">
        <f t="shared" si="31"/>
        <v>0</v>
      </c>
      <c r="I163" s="77">
        <f t="shared" si="31"/>
        <v>0</v>
      </c>
      <c r="J163" s="87">
        <f t="shared" si="29"/>
        <v>0</v>
      </c>
    </row>
    <row r="164" spans="1:10" ht="21.95" customHeight="1" outlineLevel="2">
      <c r="A164" s="79" t="s">
        <v>591</v>
      </c>
      <c r="B164" s="73"/>
      <c r="C164" s="74" t="s">
        <v>616</v>
      </c>
      <c r="D164" s="80" t="s">
        <v>617</v>
      </c>
      <c r="E164" s="76"/>
      <c r="F164" s="76"/>
      <c r="G164" s="77"/>
      <c r="H164" s="76">
        <f t="shared" si="31"/>
        <v>0</v>
      </c>
      <c r="I164" s="77">
        <f t="shared" si="31"/>
        <v>0</v>
      </c>
      <c r="J164" s="87">
        <f t="shared" si="29"/>
        <v>0</v>
      </c>
    </row>
    <row r="165" spans="1:10" ht="21.95" customHeight="1" outlineLevel="2">
      <c r="A165" s="79" t="s">
        <v>591</v>
      </c>
      <c r="B165" s="73"/>
      <c r="C165" s="74" t="s">
        <v>618</v>
      </c>
      <c r="D165" s="80" t="s">
        <v>619</v>
      </c>
      <c r="E165" s="76"/>
      <c r="F165" s="76"/>
      <c r="G165" s="77"/>
      <c r="H165" s="76">
        <f t="shared" si="31"/>
        <v>0</v>
      </c>
      <c r="I165" s="77">
        <f t="shared" si="31"/>
        <v>0</v>
      </c>
      <c r="J165" s="87">
        <f t="shared" si="29"/>
        <v>0</v>
      </c>
    </row>
    <row r="166" spans="1:10" ht="21.95" customHeight="1" outlineLevel="2">
      <c r="A166" s="79" t="s">
        <v>591</v>
      </c>
      <c r="B166" s="73"/>
      <c r="C166" s="74" t="s">
        <v>620</v>
      </c>
      <c r="D166" s="80" t="s">
        <v>621</v>
      </c>
      <c r="E166" s="76"/>
      <c r="F166" s="76"/>
      <c r="G166" s="77"/>
      <c r="H166" s="76">
        <f t="shared" si="31"/>
        <v>0</v>
      </c>
      <c r="I166" s="77">
        <f t="shared" si="31"/>
        <v>0</v>
      </c>
      <c r="J166" s="87">
        <f t="shared" si="29"/>
        <v>0</v>
      </c>
    </row>
    <row r="167" spans="1:10" ht="21.95" customHeight="1" outlineLevel="2">
      <c r="A167" s="79" t="s">
        <v>591</v>
      </c>
      <c r="B167" s="73"/>
      <c r="C167" s="74" t="s">
        <v>622</v>
      </c>
      <c r="D167" s="80" t="s">
        <v>623</v>
      </c>
      <c r="E167" s="76"/>
      <c r="F167" s="76"/>
      <c r="G167" s="77"/>
      <c r="H167" s="76">
        <f t="shared" si="31"/>
        <v>0</v>
      </c>
      <c r="I167" s="77">
        <f t="shared" si="31"/>
        <v>0</v>
      </c>
      <c r="J167" s="87">
        <f t="shared" si="29"/>
        <v>0</v>
      </c>
    </row>
    <row r="168" spans="1:10" ht="21.95" customHeight="1" outlineLevel="2">
      <c r="A168" s="79" t="s">
        <v>591</v>
      </c>
      <c r="B168" s="73"/>
      <c r="C168" s="74" t="s">
        <v>624</v>
      </c>
      <c r="D168" s="80" t="s">
        <v>625</v>
      </c>
      <c r="E168" s="76"/>
      <c r="F168" s="76"/>
      <c r="G168" s="77"/>
      <c r="H168" s="76">
        <f t="shared" ref="H168:I177" si="32">F168-E168</f>
        <v>0</v>
      </c>
      <c r="I168" s="77">
        <f t="shared" si="32"/>
        <v>0</v>
      </c>
      <c r="J168" s="87">
        <f t="shared" si="29"/>
        <v>0</v>
      </c>
    </row>
    <row r="169" spans="1:10" ht="21.95" customHeight="1" outlineLevel="2">
      <c r="A169" s="79" t="s">
        <v>591</v>
      </c>
      <c r="B169" s="73"/>
      <c r="C169" s="74" t="s">
        <v>626</v>
      </c>
      <c r="D169" s="80" t="s">
        <v>627</v>
      </c>
      <c r="E169" s="76"/>
      <c r="F169" s="76"/>
      <c r="G169" s="77"/>
      <c r="H169" s="76">
        <f t="shared" si="32"/>
        <v>0</v>
      </c>
      <c r="I169" s="77">
        <f t="shared" si="32"/>
        <v>0</v>
      </c>
      <c r="J169" s="87">
        <f t="shared" si="29"/>
        <v>0</v>
      </c>
    </row>
    <row r="170" spans="1:10" ht="21.95" customHeight="1" outlineLevel="2">
      <c r="A170" s="79" t="s">
        <v>591</v>
      </c>
      <c r="B170" s="73"/>
      <c r="C170" s="74" t="s">
        <v>628</v>
      </c>
      <c r="D170" s="80" t="s">
        <v>629</v>
      </c>
      <c r="E170" s="76"/>
      <c r="F170" s="76"/>
      <c r="G170" s="77"/>
      <c r="H170" s="76">
        <f t="shared" si="32"/>
        <v>0</v>
      </c>
      <c r="I170" s="77">
        <f t="shared" si="32"/>
        <v>0</v>
      </c>
      <c r="J170" s="87">
        <f t="shared" si="29"/>
        <v>0</v>
      </c>
    </row>
    <row r="171" spans="1:10" ht="21.95" customHeight="1" outlineLevel="2">
      <c r="A171" s="79" t="s">
        <v>591</v>
      </c>
      <c r="B171" s="73"/>
      <c r="C171" s="74" t="s">
        <v>630</v>
      </c>
      <c r="D171" s="80" t="s">
        <v>631</v>
      </c>
      <c r="E171" s="76"/>
      <c r="F171" s="76"/>
      <c r="G171" s="77"/>
      <c r="H171" s="76">
        <f t="shared" si="32"/>
        <v>0</v>
      </c>
      <c r="I171" s="77">
        <f t="shared" si="32"/>
        <v>0</v>
      </c>
      <c r="J171" s="87">
        <f t="shared" si="29"/>
        <v>0</v>
      </c>
    </row>
    <row r="172" spans="1:10" ht="21.95" customHeight="1" outlineLevel="2">
      <c r="A172" s="79" t="s">
        <v>591</v>
      </c>
      <c r="B172" s="73"/>
      <c r="C172" s="74" t="s">
        <v>632</v>
      </c>
      <c r="D172" s="80" t="s">
        <v>633</v>
      </c>
      <c r="E172" s="76"/>
      <c r="F172" s="76"/>
      <c r="G172" s="77"/>
      <c r="H172" s="76">
        <f t="shared" si="32"/>
        <v>0</v>
      </c>
      <c r="I172" s="77">
        <f t="shared" si="32"/>
        <v>0</v>
      </c>
      <c r="J172" s="87">
        <f t="shared" si="29"/>
        <v>0</v>
      </c>
    </row>
    <row r="173" spans="1:10" ht="21.95" customHeight="1" outlineLevel="2">
      <c r="A173" s="79" t="s">
        <v>591</v>
      </c>
      <c r="B173" s="73"/>
      <c r="C173" s="74" t="s">
        <v>634</v>
      </c>
      <c r="D173" s="80" t="s">
        <v>635</v>
      </c>
      <c r="E173" s="76"/>
      <c r="F173" s="76"/>
      <c r="G173" s="77"/>
      <c r="H173" s="76">
        <f t="shared" si="32"/>
        <v>0</v>
      </c>
      <c r="I173" s="77">
        <f t="shared" si="32"/>
        <v>0</v>
      </c>
      <c r="J173" s="87">
        <f t="shared" si="29"/>
        <v>0</v>
      </c>
    </row>
    <row r="174" spans="1:10" ht="21.95" customHeight="1" outlineLevel="2">
      <c r="A174" s="79" t="s">
        <v>591</v>
      </c>
      <c r="B174" s="73"/>
      <c r="C174" s="74" t="s">
        <v>636</v>
      </c>
      <c r="D174" s="80" t="s">
        <v>637</v>
      </c>
      <c r="E174" s="76"/>
      <c r="F174" s="76"/>
      <c r="G174" s="77"/>
      <c r="H174" s="76">
        <f t="shared" si="32"/>
        <v>0</v>
      </c>
      <c r="I174" s="77">
        <f t="shared" si="32"/>
        <v>0</v>
      </c>
      <c r="J174" s="87">
        <f t="shared" si="29"/>
        <v>0</v>
      </c>
    </row>
    <row r="175" spans="1:10" ht="21.95" customHeight="1" outlineLevel="2">
      <c r="A175" s="79" t="s">
        <v>591</v>
      </c>
      <c r="B175" s="73"/>
      <c r="C175" s="74" t="s">
        <v>638</v>
      </c>
      <c r="D175" s="80" t="s">
        <v>639</v>
      </c>
      <c r="E175" s="76"/>
      <c r="F175" s="76"/>
      <c r="G175" s="77"/>
      <c r="H175" s="76">
        <f t="shared" si="32"/>
        <v>0</v>
      </c>
      <c r="I175" s="77">
        <f t="shared" si="32"/>
        <v>0</v>
      </c>
      <c r="J175" s="87">
        <f t="shared" si="29"/>
        <v>0</v>
      </c>
    </row>
    <row r="176" spans="1:10" ht="21.95" customHeight="1" outlineLevel="2">
      <c r="A176" s="79" t="s">
        <v>591</v>
      </c>
      <c r="B176" s="73"/>
      <c r="C176" s="74" t="s">
        <v>640</v>
      </c>
      <c r="D176" s="80" t="s">
        <v>641</v>
      </c>
      <c r="E176" s="76"/>
      <c r="F176" s="76"/>
      <c r="G176" s="77"/>
      <c r="H176" s="76">
        <f t="shared" si="32"/>
        <v>0</v>
      </c>
      <c r="I176" s="77">
        <f t="shared" si="32"/>
        <v>0</v>
      </c>
      <c r="J176" s="87">
        <f t="shared" si="29"/>
        <v>0</v>
      </c>
    </row>
    <row r="177" spans="1:10" ht="21.95" customHeight="1" outlineLevel="2">
      <c r="A177" s="79" t="s">
        <v>591</v>
      </c>
      <c r="B177" s="73"/>
      <c r="C177" s="74" t="s">
        <v>642</v>
      </c>
      <c r="D177" s="80" t="s">
        <v>643</v>
      </c>
      <c r="E177" s="76"/>
      <c r="F177" s="76"/>
      <c r="G177" s="77"/>
      <c r="H177" s="76">
        <f t="shared" si="32"/>
        <v>0</v>
      </c>
      <c r="I177" s="77">
        <f t="shared" si="32"/>
        <v>0</v>
      </c>
      <c r="J177" s="87">
        <f t="shared" si="29"/>
        <v>0</v>
      </c>
    </row>
    <row r="178" spans="1:10" s="87" customFormat="1" ht="21.95" customHeight="1" outlineLevel="1">
      <c r="A178" s="81" t="s">
        <v>644</v>
      </c>
      <c r="B178" s="94" t="s">
        <v>645</v>
      </c>
      <c r="C178" s="83"/>
      <c r="D178" s="84" t="s">
        <v>646</v>
      </c>
      <c r="E178" s="85">
        <f>SUBTOTAL(9,E152:E177)</f>
        <v>0</v>
      </c>
      <c r="F178" s="85">
        <f>SUBTOTAL(9,F152:F177)</f>
        <v>0</v>
      </c>
      <c r="G178" s="86">
        <f>SUBTOTAL(9,G152:G177)</f>
        <v>0</v>
      </c>
      <c r="H178" s="85">
        <f>SUBTOTAL(9,H152:H177)</f>
        <v>0</v>
      </c>
      <c r="I178" s="86">
        <f>SUBTOTAL(9,I152:I177)</f>
        <v>0</v>
      </c>
      <c r="J178" s="87">
        <f t="shared" si="29"/>
        <v>0</v>
      </c>
    </row>
    <row r="179" spans="1:10" ht="21.95" customHeight="1" outlineLevel="2">
      <c r="A179" s="79" t="s">
        <v>647</v>
      </c>
      <c r="B179" s="73"/>
      <c r="C179" s="74" t="s">
        <v>648</v>
      </c>
      <c r="D179" s="80" t="s">
        <v>649</v>
      </c>
      <c r="E179" s="76"/>
      <c r="F179" s="76"/>
      <c r="G179" s="77"/>
      <c r="H179" s="76">
        <f t="shared" ref="H179:I179" si="33">F179-E179</f>
        <v>0</v>
      </c>
      <c r="I179" s="77">
        <f t="shared" si="33"/>
        <v>0</v>
      </c>
      <c r="J179" s="87">
        <f t="shared" si="29"/>
        <v>0</v>
      </c>
    </row>
    <row r="180" spans="1:10" s="87" customFormat="1" ht="21.95" customHeight="1" outlineLevel="1">
      <c r="A180" s="81" t="s">
        <v>650</v>
      </c>
      <c r="B180" s="82" t="s">
        <v>651</v>
      </c>
      <c r="C180" s="83"/>
      <c r="D180" s="84" t="s">
        <v>652</v>
      </c>
      <c r="E180" s="85">
        <f>SUBTOTAL(9,E179:E179)</f>
        <v>0</v>
      </c>
      <c r="F180" s="85">
        <f>SUBTOTAL(9,F179:F179)</f>
        <v>0</v>
      </c>
      <c r="G180" s="86">
        <f>SUBTOTAL(9,G179:G179)</f>
        <v>0</v>
      </c>
      <c r="H180" s="85">
        <f>SUBTOTAL(9,H179:H179)</f>
        <v>0</v>
      </c>
      <c r="I180" s="86">
        <f>SUBTOTAL(9,I179:I179)</f>
        <v>0</v>
      </c>
      <c r="J180" s="87">
        <f t="shared" si="29"/>
        <v>0</v>
      </c>
    </row>
    <row r="181" spans="1:10" ht="21.95" customHeight="1" outlineLevel="2">
      <c r="A181" s="79" t="s">
        <v>653</v>
      </c>
      <c r="B181" s="73"/>
      <c r="C181" s="74" t="s">
        <v>654</v>
      </c>
      <c r="D181" s="80" t="s">
        <v>655</v>
      </c>
      <c r="E181" s="76"/>
      <c r="F181" s="76"/>
      <c r="G181" s="77"/>
      <c r="H181" s="76">
        <f t="shared" ref="H181:I196" si="34">F181-E181</f>
        <v>0</v>
      </c>
      <c r="I181" s="77">
        <f t="shared" si="34"/>
        <v>0</v>
      </c>
      <c r="J181" s="87">
        <f t="shared" si="29"/>
        <v>0</v>
      </c>
    </row>
    <row r="182" spans="1:10" ht="21.95" customHeight="1" outlineLevel="2">
      <c r="A182" s="79" t="s">
        <v>653</v>
      </c>
      <c r="B182" s="73"/>
      <c r="C182" s="74" t="s">
        <v>656</v>
      </c>
      <c r="D182" s="80" t="s">
        <v>657</v>
      </c>
      <c r="E182" s="76"/>
      <c r="F182" s="76"/>
      <c r="G182" s="77"/>
      <c r="H182" s="76">
        <f t="shared" si="34"/>
        <v>0</v>
      </c>
      <c r="I182" s="77">
        <f t="shared" si="34"/>
        <v>0</v>
      </c>
      <c r="J182" s="87">
        <f t="shared" si="29"/>
        <v>0</v>
      </c>
    </row>
    <row r="183" spans="1:10" ht="21.95" customHeight="1" outlineLevel="2">
      <c r="A183" s="79" t="s">
        <v>653</v>
      </c>
      <c r="B183" s="73"/>
      <c r="C183" s="74" t="s">
        <v>658</v>
      </c>
      <c r="D183" s="80" t="s">
        <v>659</v>
      </c>
      <c r="E183" s="76"/>
      <c r="F183" s="76"/>
      <c r="G183" s="77"/>
      <c r="H183" s="76">
        <f t="shared" si="34"/>
        <v>0</v>
      </c>
      <c r="I183" s="77">
        <f t="shared" si="34"/>
        <v>0</v>
      </c>
      <c r="J183" s="87">
        <f t="shared" si="29"/>
        <v>0</v>
      </c>
    </row>
    <row r="184" spans="1:10" ht="21.95" customHeight="1" outlineLevel="2">
      <c r="A184" s="79" t="s">
        <v>653</v>
      </c>
      <c r="B184" s="73"/>
      <c r="C184" s="74" t="s">
        <v>660</v>
      </c>
      <c r="D184" s="80" t="s">
        <v>661</v>
      </c>
      <c r="E184" s="76"/>
      <c r="F184" s="76"/>
      <c r="G184" s="77"/>
      <c r="H184" s="76">
        <f t="shared" si="34"/>
        <v>0</v>
      </c>
      <c r="I184" s="77">
        <f t="shared" si="34"/>
        <v>0</v>
      </c>
      <c r="J184" s="87">
        <f t="shared" si="29"/>
        <v>0</v>
      </c>
    </row>
    <row r="185" spans="1:10" ht="21.95" customHeight="1" outlineLevel="2">
      <c r="A185" s="79" t="s">
        <v>653</v>
      </c>
      <c r="B185" s="73"/>
      <c r="C185" s="74" t="s">
        <v>662</v>
      </c>
      <c r="D185" s="80" t="s">
        <v>663</v>
      </c>
      <c r="E185" s="76"/>
      <c r="F185" s="76"/>
      <c r="G185" s="77"/>
      <c r="H185" s="76">
        <f t="shared" si="34"/>
        <v>0</v>
      </c>
      <c r="I185" s="77">
        <f t="shared" si="34"/>
        <v>0</v>
      </c>
      <c r="J185" s="87">
        <f t="shared" si="29"/>
        <v>0</v>
      </c>
    </row>
    <row r="186" spans="1:10" ht="21.95" customHeight="1" outlineLevel="2">
      <c r="A186" s="79" t="s">
        <v>653</v>
      </c>
      <c r="B186" s="73"/>
      <c r="C186" s="74" t="s">
        <v>664</v>
      </c>
      <c r="D186" s="80" t="s">
        <v>665</v>
      </c>
      <c r="E186" s="76"/>
      <c r="F186" s="76"/>
      <c r="G186" s="77"/>
      <c r="H186" s="76">
        <f t="shared" si="34"/>
        <v>0</v>
      </c>
      <c r="I186" s="77">
        <f t="shared" si="34"/>
        <v>0</v>
      </c>
      <c r="J186" s="87">
        <f t="shared" si="29"/>
        <v>0</v>
      </c>
    </row>
    <row r="187" spans="1:10" ht="21.95" customHeight="1" outlineLevel="2">
      <c r="A187" s="79" t="s">
        <v>653</v>
      </c>
      <c r="B187" s="73"/>
      <c r="C187" s="74" t="s">
        <v>666</v>
      </c>
      <c r="D187" s="80" t="s">
        <v>667</v>
      </c>
      <c r="E187" s="76"/>
      <c r="F187" s="76"/>
      <c r="G187" s="77"/>
      <c r="H187" s="76">
        <f t="shared" si="34"/>
        <v>0</v>
      </c>
      <c r="I187" s="77">
        <f t="shared" si="34"/>
        <v>0</v>
      </c>
      <c r="J187" s="87">
        <f t="shared" si="29"/>
        <v>0</v>
      </c>
    </row>
    <row r="188" spans="1:10" ht="21.95" customHeight="1" outlineLevel="2">
      <c r="A188" s="79" t="s">
        <v>653</v>
      </c>
      <c r="B188" s="73"/>
      <c r="C188" s="74" t="s">
        <v>668</v>
      </c>
      <c r="D188" s="80" t="s">
        <v>669</v>
      </c>
      <c r="E188" s="76"/>
      <c r="F188" s="76"/>
      <c r="G188" s="77"/>
      <c r="H188" s="76">
        <f t="shared" si="34"/>
        <v>0</v>
      </c>
      <c r="I188" s="77">
        <f t="shared" si="34"/>
        <v>0</v>
      </c>
      <c r="J188" s="87">
        <f t="shared" si="29"/>
        <v>0</v>
      </c>
    </row>
    <row r="189" spans="1:10" ht="21.95" customHeight="1" outlineLevel="2">
      <c r="A189" s="79" t="s">
        <v>653</v>
      </c>
      <c r="B189" s="73"/>
      <c r="C189" s="74" t="s">
        <v>670</v>
      </c>
      <c r="D189" s="80" t="s">
        <v>671</v>
      </c>
      <c r="E189" s="76"/>
      <c r="F189" s="76"/>
      <c r="G189" s="77"/>
      <c r="H189" s="76">
        <f t="shared" si="34"/>
        <v>0</v>
      </c>
      <c r="I189" s="77">
        <f t="shared" si="34"/>
        <v>0</v>
      </c>
      <c r="J189" s="87">
        <f t="shared" si="29"/>
        <v>0</v>
      </c>
    </row>
    <row r="190" spans="1:10" ht="21.95" customHeight="1" outlineLevel="2">
      <c r="A190" s="79" t="s">
        <v>653</v>
      </c>
      <c r="B190" s="73"/>
      <c r="C190" s="74" t="s">
        <v>672</v>
      </c>
      <c r="D190" s="80" t="s">
        <v>673</v>
      </c>
      <c r="E190" s="76"/>
      <c r="F190" s="76"/>
      <c r="G190" s="77"/>
      <c r="H190" s="76">
        <f t="shared" si="34"/>
        <v>0</v>
      </c>
      <c r="I190" s="77">
        <f t="shared" si="34"/>
        <v>0</v>
      </c>
      <c r="J190" s="87">
        <f t="shared" si="29"/>
        <v>0</v>
      </c>
    </row>
    <row r="191" spans="1:10" ht="21.95" customHeight="1" outlineLevel="2">
      <c r="A191" s="79" t="s">
        <v>653</v>
      </c>
      <c r="B191" s="73"/>
      <c r="C191" s="74" t="s">
        <v>674</v>
      </c>
      <c r="D191" s="80" t="s">
        <v>675</v>
      </c>
      <c r="E191" s="76"/>
      <c r="F191" s="76"/>
      <c r="G191" s="77"/>
      <c r="H191" s="76">
        <f t="shared" si="34"/>
        <v>0</v>
      </c>
      <c r="I191" s="77">
        <f t="shared" si="34"/>
        <v>0</v>
      </c>
      <c r="J191" s="87">
        <f t="shared" si="29"/>
        <v>0</v>
      </c>
    </row>
    <row r="192" spans="1:10" ht="21.95" customHeight="1" outlineLevel="2">
      <c r="A192" s="79" t="s">
        <v>653</v>
      </c>
      <c r="B192" s="73"/>
      <c r="C192" s="74" t="s">
        <v>676</v>
      </c>
      <c r="D192" s="80" t="s">
        <v>677</v>
      </c>
      <c r="E192" s="76"/>
      <c r="F192" s="76"/>
      <c r="G192" s="77"/>
      <c r="H192" s="76">
        <f t="shared" si="34"/>
        <v>0</v>
      </c>
      <c r="I192" s="77">
        <f t="shared" si="34"/>
        <v>0</v>
      </c>
      <c r="J192" s="87">
        <f t="shared" si="29"/>
        <v>0</v>
      </c>
    </row>
    <row r="193" spans="1:10" ht="21.95" customHeight="1" outlineLevel="2">
      <c r="A193" s="79" t="s">
        <v>653</v>
      </c>
      <c r="B193" s="73"/>
      <c r="C193" s="74" t="s">
        <v>678</v>
      </c>
      <c r="D193" s="80" t="s">
        <v>450</v>
      </c>
      <c r="E193" s="76"/>
      <c r="F193" s="76"/>
      <c r="G193" s="77"/>
      <c r="H193" s="76">
        <f t="shared" si="34"/>
        <v>0</v>
      </c>
      <c r="I193" s="77">
        <f t="shared" si="34"/>
        <v>0</v>
      </c>
      <c r="J193" s="87">
        <f t="shared" si="29"/>
        <v>0</v>
      </c>
    </row>
    <row r="194" spans="1:10" ht="21.95" customHeight="1" outlineLevel="2">
      <c r="A194" s="79" t="s">
        <v>653</v>
      </c>
      <c r="B194" s="73"/>
      <c r="C194" s="74" t="s">
        <v>679</v>
      </c>
      <c r="D194" s="80" t="s">
        <v>680</v>
      </c>
      <c r="E194" s="76"/>
      <c r="F194" s="76"/>
      <c r="G194" s="77"/>
      <c r="H194" s="76">
        <f t="shared" si="34"/>
        <v>0</v>
      </c>
      <c r="I194" s="77">
        <f t="shared" si="34"/>
        <v>0</v>
      </c>
      <c r="J194" s="87">
        <f t="shared" si="29"/>
        <v>0</v>
      </c>
    </row>
    <row r="195" spans="1:10" ht="21.95" customHeight="1" outlineLevel="2">
      <c r="A195" s="79" t="s">
        <v>653</v>
      </c>
      <c r="B195" s="73"/>
      <c r="C195" s="74" t="s">
        <v>681</v>
      </c>
      <c r="D195" s="80" t="s">
        <v>682</v>
      </c>
      <c r="E195" s="76"/>
      <c r="F195" s="76"/>
      <c r="G195" s="77"/>
      <c r="H195" s="76">
        <f t="shared" si="34"/>
        <v>0</v>
      </c>
      <c r="I195" s="77">
        <f t="shared" si="34"/>
        <v>0</v>
      </c>
      <c r="J195" s="87">
        <f t="shared" si="29"/>
        <v>0</v>
      </c>
    </row>
    <row r="196" spans="1:10" ht="21.95" customHeight="1" outlineLevel="2">
      <c r="A196" s="79" t="s">
        <v>653</v>
      </c>
      <c r="B196" s="73"/>
      <c r="C196" s="74" t="s">
        <v>683</v>
      </c>
      <c r="D196" s="80" t="s">
        <v>684</v>
      </c>
      <c r="E196" s="76"/>
      <c r="F196" s="76"/>
      <c r="G196" s="77"/>
      <c r="H196" s="76">
        <f t="shared" si="34"/>
        <v>0</v>
      </c>
      <c r="I196" s="77">
        <f t="shared" si="34"/>
        <v>0</v>
      </c>
      <c r="J196" s="87">
        <f t="shared" si="29"/>
        <v>0</v>
      </c>
    </row>
    <row r="197" spans="1:10" ht="21.95" customHeight="1" outlineLevel="2">
      <c r="A197" s="79" t="s">
        <v>653</v>
      </c>
      <c r="B197" s="74"/>
      <c r="C197" s="74" t="s">
        <v>685</v>
      </c>
      <c r="D197" s="96" t="s">
        <v>686</v>
      </c>
      <c r="E197" s="76"/>
      <c r="F197" s="76"/>
      <c r="G197" s="77"/>
      <c r="H197" s="76">
        <f t="shared" ref="H197:I197" si="35">F197-E197</f>
        <v>0</v>
      </c>
      <c r="I197" s="77">
        <f t="shared" si="35"/>
        <v>0</v>
      </c>
      <c r="J197" s="87">
        <f t="shared" si="29"/>
        <v>0</v>
      </c>
    </row>
    <row r="198" spans="1:10" s="87" customFormat="1" ht="21.95" customHeight="1" outlineLevel="1">
      <c r="A198" s="81" t="s">
        <v>687</v>
      </c>
      <c r="B198" s="97" t="s">
        <v>688</v>
      </c>
      <c r="C198" s="83"/>
      <c r="D198" s="84" t="s">
        <v>689</v>
      </c>
      <c r="E198" s="86">
        <f>SUBTOTAL(9,E181:E197)</f>
        <v>0</v>
      </c>
      <c r="F198" s="86">
        <f>SUBTOTAL(9,F181:F197)</f>
        <v>0</v>
      </c>
      <c r="G198" s="86">
        <f>SUBTOTAL(9,G181:G197)</f>
        <v>0</v>
      </c>
      <c r="H198" s="86">
        <f>SUBTOTAL(9,H181:H197)</f>
        <v>0</v>
      </c>
      <c r="I198" s="86">
        <f>SUBTOTAL(9,I181:I197)</f>
        <v>0</v>
      </c>
      <c r="J198" s="87">
        <f t="shared" si="29"/>
        <v>0</v>
      </c>
    </row>
    <row r="199" spans="1:10" s="101" customFormat="1" ht="21.95" customHeight="1">
      <c r="A199" s="81" t="s">
        <v>690</v>
      </c>
      <c r="B199" s="98"/>
      <c r="C199" s="98"/>
      <c r="D199" s="99" t="s">
        <v>691</v>
      </c>
      <c r="E199" s="100">
        <f>SUBTOTAL(9,E9:E197)</f>
        <v>5</v>
      </c>
      <c r="F199" s="100">
        <f>SUBTOTAL(9,F9:F197)</f>
        <v>10</v>
      </c>
      <c r="G199" s="100">
        <f>SUBTOTAL(9,G9:G197)</f>
        <v>15</v>
      </c>
      <c r="H199" s="100">
        <f>SUBTOTAL(9,H9:H197)</f>
        <v>5</v>
      </c>
      <c r="I199" s="100">
        <f>SUBTOTAL(9,I9:I197)</f>
        <v>5</v>
      </c>
      <c r="J199" s="101">
        <f t="shared" si="29"/>
        <v>40</v>
      </c>
    </row>
  </sheetData>
  <autoFilter ref="A8:I198" xr:uid="{00000000-0009-0000-0000-000006000000}"/>
  <mergeCells count="11">
    <mergeCell ref="H6:I6"/>
    <mergeCell ref="B1:D1"/>
    <mergeCell ref="B2:I2"/>
    <mergeCell ref="B3:I3"/>
    <mergeCell ref="B5:B8"/>
    <mergeCell ref="C5:C8"/>
    <mergeCell ref="D5:D8"/>
    <mergeCell ref="E5:I5"/>
    <mergeCell ref="E6:E7"/>
    <mergeCell ref="F6:F7"/>
    <mergeCell ref="G6:G7"/>
  </mergeCells>
  <phoneticPr fontId="9" type="noConversion"/>
  <printOptions horizontalCentered="1"/>
  <pageMargins left="0.31496062992125984" right="0.31496062992125984" top="0.35433070866141736" bottom="1.0236220472440944" header="0.31496062992125984" footer="0.19685039370078741"/>
  <pageSetup paperSize="9" scale="85" orientation="portrait" r:id="rId1"/>
  <headerFooter>
    <oddFooter>&amp;L&amp;G&amp;R&amp;"Book Antiqua,標準"W P. NO  &amp;U _     V1-2-&amp;P     _&amp;U
Year End  &amp;U_    105.12.31   _</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42"/>
  <sheetViews>
    <sheetView view="pageBreakPreview" zoomScale="118" zoomScaleNormal="112" zoomScaleSheetLayoutView="118" workbookViewId="0">
      <pane xSplit="3" ySplit="8" topLeftCell="D105" activePane="bottomRight" state="frozen"/>
      <selection pane="topRight" activeCell="D1" sqref="D1"/>
      <selection pane="bottomLeft" activeCell="A7" sqref="A7"/>
      <selection pane="bottomRight" activeCell="D111" sqref="D111"/>
    </sheetView>
  </sheetViews>
  <sheetFormatPr defaultColWidth="9" defaultRowHeight="21.95" customHeight="1" outlineLevelRow="2"/>
  <cols>
    <col min="1" max="1" width="49.5" style="140" hidden="1" customWidth="1"/>
    <col min="2" max="2" width="5.875" style="141" customWidth="1"/>
    <col min="3" max="3" width="5.625" style="108" customWidth="1"/>
    <col min="4" max="4" width="35.375" style="142" customWidth="1"/>
    <col min="5" max="9" width="12.5" style="143" customWidth="1"/>
    <col min="10" max="16384" width="9" style="103"/>
  </cols>
  <sheetData>
    <row r="1" spans="1:10" ht="21.95" customHeight="1">
      <c r="A1" s="103"/>
      <c r="B1" s="104"/>
      <c r="C1" s="521" t="s">
        <v>692</v>
      </c>
      <c r="D1" s="521"/>
      <c r="E1" s="521"/>
      <c r="F1" s="521"/>
      <c r="G1" s="521"/>
      <c r="H1" s="521"/>
      <c r="I1" s="521"/>
    </row>
    <row r="2" spans="1:10" ht="21.95" customHeight="1">
      <c r="A2" s="103"/>
      <c r="B2" s="104"/>
      <c r="C2" s="511" t="s">
        <v>992</v>
      </c>
      <c r="D2" s="511"/>
      <c r="E2" s="511"/>
      <c r="F2" s="511"/>
      <c r="G2" s="511"/>
      <c r="H2" s="511"/>
      <c r="I2" s="511"/>
      <c r="J2" s="105"/>
    </row>
    <row r="3" spans="1:10" ht="21.95" customHeight="1">
      <c r="A3" s="103"/>
      <c r="B3" s="104"/>
      <c r="C3" s="511" t="s">
        <v>693</v>
      </c>
      <c r="D3" s="511"/>
      <c r="E3" s="511"/>
      <c r="F3" s="511"/>
      <c r="G3" s="511"/>
      <c r="H3" s="511"/>
      <c r="I3" s="511"/>
      <c r="J3" s="105"/>
    </row>
    <row r="4" spans="1:10" ht="21.95" customHeight="1">
      <c r="A4" s="103"/>
      <c r="B4" s="104"/>
      <c r="C4" s="522" t="s">
        <v>694</v>
      </c>
      <c r="D4" s="522"/>
      <c r="E4" s="522"/>
      <c r="F4" s="522"/>
      <c r="G4" s="522"/>
      <c r="H4" s="522"/>
      <c r="I4" s="522"/>
      <c r="J4" s="106"/>
    </row>
    <row r="5" spans="1:10" s="108" customFormat="1" ht="24" customHeight="1">
      <c r="A5" s="107" t="s">
        <v>695</v>
      </c>
      <c r="B5" s="523" t="s">
        <v>695</v>
      </c>
      <c r="C5" s="523" t="s">
        <v>246</v>
      </c>
      <c r="D5" s="526" t="s">
        <v>696</v>
      </c>
      <c r="E5" s="529" t="s">
        <v>697</v>
      </c>
      <c r="F5" s="530"/>
      <c r="G5" s="530"/>
      <c r="H5" s="530"/>
      <c r="I5" s="531"/>
    </row>
    <row r="6" spans="1:10" s="108" customFormat="1" ht="18" customHeight="1">
      <c r="A6" s="107" t="s">
        <v>695</v>
      </c>
      <c r="B6" s="524"/>
      <c r="C6" s="524"/>
      <c r="D6" s="527"/>
      <c r="E6" s="517" t="s">
        <v>249</v>
      </c>
      <c r="F6" s="517" t="s">
        <v>250</v>
      </c>
      <c r="G6" s="519" t="s">
        <v>698</v>
      </c>
      <c r="H6" s="508" t="s">
        <v>699</v>
      </c>
      <c r="I6" s="509"/>
    </row>
    <row r="7" spans="1:10" s="108" customFormat="1" ht="18" customHeight="1">
      <c r="A7" s="107"/>
      <c r="B7" s="524"/>
      <c r="C7" s="524"/>
      <c r="D7" s="527"/>
      <c r="E7" s="518"/>
      <c r="F7" s="518"/>
      <c r="G7" s="520"/>
      <c r="H7" s="69" t="s">
        <v>253</v>
      </c>
      <c r="I7" s="70" t="s">
        <v>700</v>
      </c>
    </row>
    <row r="8" spans="1:10" s="108" customFormat="1" ht="18" customHeight="1">
      <c r="A8" s="107" t="s">
        <v>695</v>
      </c>
      <c r="B8" s="525"/>
      <c r="C8" s="525"/>
      <c r="D8" s="528"/>
      <c r="E8" s="71" t="s">
        <v>701</v>
      </c>
      <c r="F8" s="71" t="s">
        <v>702</v>
      </c>
      <c r="G8" s="72" t="s">
        <v>257</v>
      </c>
      <c r="H8" s="71" t="s">
        <v>703</v>
      </c>
      <c r="I8" s="72" t="s">
        <v>704</v>
      </c>
      <c r="J8" s="109" t="s">
        <v>705</v>
      </c>
    </row>
    <row r="9" spans="1:10" s="115" customFormat="1" ht="21.95" customHeight="1" outlineLevel="1">
      <c r="A9" s="110"/>
      <c r="B9" s="111"/>
      <c r="C9" s="112"/>
      <c r="D9" s="113" t="s">
        <v>706</v>
      </c>
      <c r="E9" s="114"/>
      <c r="F9" s="114"/>
      <c r="G9" s="114"/>
      <c r="H9" s="114"/>
      <c r="I9" s="114"/>
    </row>
    <row r="10" spans="1:10" s="119" customFormat="1" ht="21.95" customHeight="1" outlineLevel="1">
      <c r="A10" s="116"/>
      <c r="B10" s="111"/>
      <c r="C10" s="117"/>
      <c r="D10" s="113" t="s">
        <v>707</v>
      </c>
      <c r="E10" s="118"/>
      <c r="F10" s="118"/>
      <c r="G10" s="118"/>
      <c r="H10" s="118"/>
      <c r="I10" s="118"/>
    </row>
    <row r="11" spans="1:10" s="115" customFormat="1" ht="21.95" customHeight="1" outlineLevel="2">
      <c r="A11" s="120" t="s">
        <v>708</v>
      </c>
      <c r="B11" s="121"/>
      <c r="C11" s="112" t="s">
        <v>709</v>
      </c>
      <c r="D11" s="122" t="s">
        <v>710</v>
      </c>
      <c r="E11" s="114">
        <v>1</v>
      </c>
      <c r="F11" s="114">
        <v>2</v>
      </c>
      <c r="G11" s="114">
        <v>3</v>
      </c>
      <c r="H11" s="114">
        <f>E11-F11</f>
        <v>-1</v>
      </c>
      <c r="I11" s="114">
        <f>F11-G11</f>
        <v>-1</v>
      </c>
      <c r="J11" s="123">
        <f>SUM(E11:I11)</f>
        <v>4</v>
      </c>
    </row>
    <row r="12" spans="1:10" s="115" customFormat="1" ht="21.95" customHeight="1" outlineLevel="2">
      <c r="A12" s="120" t="s">
        <v>708</v>
      </c>
      <c r="B12" s="121"/>
      <c r="C12" s="112" t="s">
        <v>711</v>
      </c>
      <c r="D12" s="122" t="s">
        <v>712</v>
      </c>
      <c r="E12" s="114">
        <v>1</v>
      </c>
      <c r="F12" s="114">
        <v>2</v>
      </c>
      <c r="G12" s="114">
        <v>3</v>
      </c>
      <c r="H12" s="114">
        <f t="shared" ref="H12:I16" si="0">E12-F12</f>
        <v>-1</v>
      </c>
      <c r="I12" s="114">
        <f t="shared" si="0"/>
        <v>-1</v>
      </c>
      <c r="J12" s="123">
        <f t="shared" ref="J12:J77" si="1">SUM(E12:I12)</f>
        <v>4</v>
      </c>
    </row>
    <row r="13" spans="1:10" s="115" customFormat="1" ht="21.95" customHeight="1" outlineLevel="2">
      <c r="A13" s="120" t="s">
        <v>708</v>
      </c>
      <c r="B13" s="121"/>
      <c r="C13" s="112" t="s">
        <v>713</v>
      </c>
      <c r="D13" s="122" t="s">
        <v>714</v>
      </c>
      <c r="E13" s="114">
        <v>1</v>
      </c>
      <c r="F13" s="114">
        <v>2</v>
      </c>
      <c r="G13" s="114">
        <v>3</v>
      </c>
      <c r="H13" s="114">
        <f t="shared" si="0"/>
        <v>-1</v>
      </c>
      <c r="I13" s="114">
        <f t="shared" si="0"/>
        <v>-1</v>
      </c>
      <c r="J13" s="123">
        <f t="shared" si="1"/>
        <v>4</v>
      </c>
    </row>
    <row r="14" spans="1:10" s="115" customFormat="1" ht="21.95" customHeight="1" outlineLevel="2">
      <c r="A14" s="120" t="s">
        <v>708</v>
      </c>
      <c r="B14" s="121"/>
      <c r="C14" s="112" t="s">
        <v>715</v>
      </c>
      <c r="D14" s="122" t="s">
        <v>716</v>
      </c>
      <c r="E14" s="114">
        <v>1</v>
      </c>
      <c r="F14" s="114">
        <v>2</v>
      </c>
      <c r="G14" s="114">
        <v>3</v>
      </c>
      <c r="H14" s="114">
        <f t="shared" si="0"/>
        <v>-1</v>
      </c>
      <c r="I14" s="114">
        <f t="shared" si="0"/>
        <v>-1</v>
      </c>
      <c r="J14" s="123">
        <f t="shared" si="1"/>
        <v>4</v>
      </c>
    </row>
    <row r="15" spans="1:10" s="115" customFormat="1" ht="21.95" customHeight="1" outlineLevel="2">
      <c r="A15" s="120" t="s">
        <v>708</v>
      </c>
      <c r="B15" s="121"/>
      <c r="C15" s="112" t="s">
        <v>717</v>
      </c>
      <c r="D15" s="122" t="s">
        <v>718</v>
      </c>
      <c r="E15" s="114">
        <v>1</v>
      </c>
      <c r="F15" s="114">
        <v>2</v>
      </c>
      <c r="G15" s="114">
        <v>3</v>
      </c>
      <c r="H15" s="114">
        <f t="shared" si="0"/>
        <v>-1</v>
      </c>
      <c r="I15" s="114">
        <f t="shared" si="0"/>
        <v>-1</v>
      </c>
      <c r="J15" s="123">
        <f t="shared" si="1"/>
        <v>4</v>
      </c>
    </row>
    <row r="16" spans="1:10" s="115" customFormat="1" ht="21.95" customHeight="1" outlineLevel="2">
      <c r="A16" s="120" t="s">
        <v>708</v>
      </c>
      <c r="B16" s="121"/>
      <c r="C16" s="112" t="s">
        <v>719</v>
      </c>
      <c r="D16" s="122" t="s">
        <v>720</v>
      </c>
      <c r="E16" s="114">
        <v>1</v>
      </c>
      <c r="F16" s="114">
        <v>2</v>
      </c>
      <c r="G16" s="114">
        <v>3</v>
      </c>
      <c r="H16" s="114">
        <f t="shared" si="0"/>
        <v>-1</v>
      </c>
      <c r="I16" s="114">
        <f t="shared" si="0"/>
        <v>-1</v>
      </c>
      <c r="J16" s="123">
        <f t="shared" si="1"/>
        <v>4</v>
      </c>
    </row>
    <row r="17" spans="1:10" s="129" customFormat="1" ht="21.95" customHeight="1" outlineLevel="1">
      <c r="A17" s="124" t="s">
        <v>721</v>
      </c>
      <c r="B17" s="125" t="s">
        <v>722</v>
      </c>
      <c r="C17" s="126"/>
      <c r="D17" s="127" t="s">
        <v>723</v>
      </c>
      <c r="E17" s="128">
        <f>SUBTOTAL(9,E11:E16)</f>
        <v>6</v>
      </c>
      <c r="F17" s="128">
        <f t="shared" ref="F17:H17" si="2">SUBTOTAL(9,F11:F16)</f>
        <v>12</v>
      </c>
      <c r="G17" s="128">
        <f t="shared" si="2"/>
        <v>18</v>
      </c>
      <c r="H17" s="128">
        <f t="shared" si="2"/>
        <v>-6</v>
      </c>
      <c r="I17" s="128">
        <f>SUBTOTAL(9,I11:I16)</f>
        <v>-6</v>
      </c>
      <c r="J17" s="123">
        <f t="shared" si="1"/>
        <v>24</v>
      </c>
    </row>
    <row r="18" spans="1:10" s="115" customFormat="1" ht="21.95" customHeight="1" outlineLevel="2">
      <c r="A18" s="120" t="s">
        <v>724</v>
      </c>
      <c r="B18" s="130"/>
      <c r="C18" s="112" t="s">
        <v>725</v>
      </c>
      <c r="D18" s="122" t="s">
        <v>726</v>
      </c>
      <c r="E18" s="114">
        <v>0</v>
      </c>
      <c r="F18" s="114">
        <v>0</v>
      </c>
      <c r="G18" s="114">
        <v>0</v>
      </c>
      <c r="H18" s="114">
        <f t="shared" ref="H18:I21" si="3">E18-F18</f>
        <v>0</v>
      </c>
      <c r="I18" s="114">
        <f t="shared" si="3"/>
        <v>0</v>
      </c>
      <c r="J18" s="123">
        <f t="shared" si="1"/>
        <v>0</v>
      </c>
    </row>
    <row r="19" spans="1:10" s="115" customFormat="1" ht="21.95" customHeight="1" outlineLevel="2">
      <c r="A19" s="120" t="s">
        <v>724</v>
      </c>
      <c r="B19" s="130"/>
      <c r="C19" s="112" t="s">
        <v>727</v>
      </c>
      <c r="D19" s="122" t="s">
        <v>728</v>
      </c>
      <c r="E19" s="114">
        <v>22</v>
      </c>
      <c r="F19" s="114">
        <v>0</v>
      </c>
      <c r="G19" s="114">
        <v>0</v>
      </c>
      <c r="H19" s="114">
        <f t="shared" si="3"/>
        <v>22</v>
      </c>
      <c r="I19" s="114">
        <f t="shared" si="3"/>
        <v>0</v>
      </c>
      <c r="J19" s="123">
        <f t="shared" si="1"/>
        <v>44</v>
      </c>
    </row>
    <row r="20" spans="1:10" s="115" customFormat="1" ht="21.95" customHeight="1" outlineLevel="2">
      <c r="A20" s="120" t="s">
        <v>724</v>
      </c>
      <c r="B20" s="130"/>
      <c r="C20" s="112" t="s">
        <v>729</v>
      </c>
      <c r="D20" s="122" t="s">
        <v>730</v>
      </c>
      <c r="E20" s="114">
        <v>0</v>
      </c>
      <c r="F20" s="114">
        <v>0</v>
      </c>
      <c r="G20" s="114">
        <v>0</v>
      </c>
      <c r="H20" s="114">
        <f t="shared" si="3"/>
        <v>0</v>
      </c>
      <c r="I20" s="114">
        <f t="shared" si="3"/>
        <v>0</v>
      </c>
      <c r="J20" s="123">
        <f t="shared" si="1"/>
        <v>0</v>
      </c>
    </row>
    <row r="21" spans="1:10" s="115" customFormat="1" ht="21.95" customHeight="1" outlineLevel="2">
      <c r="A21" s="120" t="s">
        <v>724</v>
      </c>
      <c r="B21" s="130"/>
      <c r="C21" s="112" t="s">
        <v>731</v>
      </c>
      <c r="D21" s="122" t="s">
        <v>732</v>
      </c>
      <c r="E21" s="114">
        <v>0</v>
      </c>
      <c r="F21" s="114">
        <v>0</v>
      </c>
      <c r="G21" s="114">
        <v>0</v>
      </c>
      <c r="H21" s="114">
        <f t="shared" si="3"/>
        <v>0</v>
      </c>
      <c r="I21" s="114">
        <f t="shared" si="3"/>
        <v>0</v>
      </c>
      <c r="J21" s="123">
        <f t="shared" si="1"/>
        <v>0</v>
      </c>
    </row>
    <row r="22" spans="1:10" s="129" customFormat="1" ht="21.95" customHeight="1" outlineLevel="1">
      <c r="A22" s="131" t="s">
        <v>733</v>
      </c>
      <c r="B22" s="132">
        <v>212</v>
      </c>
      <c r="C22" s="126"/>
      <c r="D22" s="127" t="s">
        <v>734</v>
      </c>
      <c r="E22" s="128">
        <f>SUBTOTAL(9,E18:E21)</f>
        <v>22</v>
      </c>
      <c r="F22" s="128">
        <f t="shared" ref="F22:H22" si="4">SUBTOTAL(9,F18:F21)</f>
        <v>0</v>
      </c>
      <c r="G22" s="128">
        <f t="shared" si="4"/>
        <v>0</v>
      </c>
      <c r="H22" s="128">
        <f t="shared" si="4"/>
        <v>22</v>
      </c>
      <c r="I22" s="128">
        <f>SUBTOTAL(9,I18:I21)</f>
        <v>0</v>
      </c>
      <c r="J22" s="123">
        <f t="shared" si="1"/>
        <v>44</v>
      </c>
    </row>
    <row r="23" spans="1:10" s="115" customFormat="1" ht="21.95" customHeight="1" outlineLevel="2">
      <c r="A23" s="120" t="s">
        <v>735</v>
      </c>
      <c r="B23" s="130"/>
      <c r="C23" s="112" t="s">
        <v>736</v>
      </c>
      <c r="D23" s="122" t="s">
        <v>737</v>
      </c>
      <c r="E23" s="114">
        <v>0</v>
      </c>
      <c r="F23" s="114">
        <v>0</v>
      </c>
      <c r="G23" s="114">
        <v>0</v>
      </c>
      <c r="H23" s="114">
        <f t="shared" ref="H23:I24" si="5">E23-F23</f>
        <v>0</v>
      </c>
      <c r="I23" s="114">
        <f t="shared" si="5"/>
        <v>0</v>
      </c>
      <c r="J23" s="123">
        <f t="shared" si="1"/>
        <v>0</v>
      </c>
    </row>
    <row r="24" spans="1:10" s="115" customFormat="1" ht="21.95" customHeight="1" outlineLevel="2">
      <c r="A24" s="120" t="s">
        <v>735</v>
      </c>
      <c r="B24" s="130"/>
      <c r="C24" s="112" t="s">
        <v>738</v>
      </c>
      <c r="D24" s="122" t="s">
        <v>739</v>
      </c>
      <c r="E24" s="114">
        <v>3333</v>
      </c>
      <c r="F24" s="114">
        <v>0</v>
      </c>
      <c r="G24" s="114">
        <v>0</v>
      </c>
      <c r="H24" s="114">
        <f t="shared" si="5"/>
        <v>3333</v>
      </c>
      <c r="I24" s="114">
        <f t="shared" si="5"/>
        <v>0</v>
      </c>
      <c r="J24" s="123">
        <f t="shared" si="1"/>
        <v>6666</v>
      </c>
    </row>
    <row r="25" spans="1:10" s="129" customFormat="1" ht="21.95" customHeight="1" outlineLevel="1">
      <c r="A25" s="131" t="s">
        <v>740</v>
      </c>
      <c r="B25" s="132">
        <v>213</v>
      </c>
      <c r="C25" s="126"/>
      <c r="D25" s="127" t="s">
        <v>741</v>
      </c>
      <c r="E25" s="128">
        <f>SUBTOTAL(9,E23:E24)</f>
        <v>3333</v>
      </c>
      <c r="F25" s="128">
        <f t="shared" ref="F25:H25" si="6">SUBTOTAL(9,F23:F24)</f>
        <v>0</v>
      </c>
      <c r="G25" s="128">
        <f t="shared" si="6"/>
        <v>0</v>
      </c>
      <c r="H25" s="128">
        <f t="shared" si="6"/>
        <v>3333</v>
      </c>
      <c r="I25" s="128">
        <f>SUBTOTAL(9,I23:I24)</f>
        <v>0</v>
      </c>
      <c r="J25" s="123">
        <f t="shared" si="1"/>
        <v>6666</v>
      </c>
    </row>
    <row r="26" spans="1:10" s="115" customFormat="1" ht="21.95" customHeight="1" outlineLevel="2">
      <c r="A26" s="120" t="s">
        <v>742</v>
      </c>
      <c r="B26" s="130"/>
      <c r="C26" s="112" t="s">
        <v>743</v>
      </c>
      <c r="D26" s="122" t="s">
        <v>744</v>
      </c>
      <c r="E26" s="114">
        <v>0</v>
      </c>
      <c r="F26" s="114">
        <v>0</v>
      </c>
      <c r="G26" s="114">
        <v>0</v>
      </c>
      <c r="H26" s="114">
        <f t="shared" ref="H26:I27" si="7">E26-F26</f>
        <v>0</v>
      </c>
      <c r="I26" s="114">
        <f t="shared" si="7"/>
        <v>0</v>
      </c>
      <c r="J26" s="123">
        <f t="shared" si="1"/>
        <v>0</v>
      </c>
    </row>
    <row r="27" spans="1:10" s="115" customFormat="1" ht="21.95" customHeight="1" outlineLevel="2">
      <c r="A27" s="120" t="s">
        <v>742</v>
      </c>
      <c r="B27" s="130"/>
      <c r="C27" s="112" t="s">
        <v>745</v>
      </c>
      <c r="D27" s="122" t="s">
        <v>746</v>
      </c>
      <c r="E27" s="114">
        <v>0</v>
      </c>
      <c r="F27" s="114">
        <v>0</v>
      </c>
      <c r="G27" s="114">
        <v>0</v>
      </c>
      <c r="H27" s="114">
        <f t="shared" si="7"/>
        <v>0</v>
      </c>
      <c r="I27" s="114">
        <f t="shared" si="7"/>
        <v>0</v>
      </c>
      <c r="J27" s="123">
        <f t="shared" si="1"/>
        <v>0</v>
      </c>
    </row>
    <row r="28" spans="1:10" s="129" customFormat="1" ht="21.95" customHeight="1" outlineLevel="1">
      <c r="A28" s="131" t="s">
        <v>747</v>
      </c>
      <c r="B28" s="132">
        <v>214</v>
      </c>
      <c r="C28" s="126"/>
      <c r="D28" s="127" t="s">
        <v>748</v>
      </c>
      <c r="E28" s="128">
        <f>SUBTOTAL(9,E26:E27)</f>
        <v>0</v>
      </c>
      <c r="F28" s="128">
        <f t="shared" ref="F28:H28" si="8">SUBTOTAL(9,F26:F27)</f>
        <v>0</v>
      </c>
      <c r="G28" s="128">
        <f t="shared" si="8"/>
        <v>0</v>
      </c>
      <c r="H28" s="128">
        <f t="shared" si="8"/>
        <v>0</v>
      </c>
      <c r="I28" s="128">
        <f>SUBTOTAL(9,I26:I27)</f>
        <v>0</v>
      </c>
      <c r="J28" s="123">
        <f t="shared" si="1"/>
        <v>0</v>
      </c>
    </row>
    <row r="29" spans="1:10" s="115" customFormat="1" ht="21.95" customHeight="1" outlineLevel="2">
      <c r="A29" s="120" t="s">
        <v>749</v>
      </c>
      <c r="B29" s="130"/>
      <c r="C29" s="112" t="s">
        <v>750</v>
      </c>
      <c r="D29" s="122" t="s">
        <v>751</v>
      </c>
      <c r="E29" s="114">
        <v>0</v>
      </c>
      <c r="F29" s="114">
        <v>0</v>
      </c>
      <c r="G29" s="114">
        <v>0</v>
      </c>
      <c r="H29" s="114">
        <f t="shared" ref="H29:I29" si="9">E29-F29</f>
        <v>0</v>
      </c>
      <c r="I29" s="114">
        <f t="shared" si="9"/>
        <v>0</v>
      </c>
      <c r="J29" s="123">
        <f t="shared" si="1"/>
        <v>0</v>
      </c>
    </row>
    <row r="30" spans="1:10" s="129" customFormat="1" ht="21.95" customHeight="1" outlineLevel="1">
      <c r="A30" s="131" t="s">
        <v>752</v>
      </c>
      <c r="B30" s="132">
        <v>215</v>
      </c>
      <c r="C30" s="126"/>
      <c r="D30" s="127" t="s">
        <v>753</v>
      </c>
      <c r="E30" s="128">
        <f>SUBTOTAL(9,E29:E29)</f>
        <v>0</v>
      </c>
      <c r="F30" s="128">
        <f t="shared" ref="F30:H30" si="10">SUBTOTAL(9,F29:F29)</f>
        <v>0</v>
      </c>
      <c r="G30" s="128">
        <f t="shared" si="10"/>
        <v>0</v>
      </c>
      <c r="H30" s="128">
        <f t="shared" si="10"/>
        <v>0</v>
      </c>
      <c r="I30" s="128">
        <f>SUBTOTAL(9,I29:I29)</f>
        <v>0</v>
      </c>
      <c r="J30" s="123">
        <f t="shared" si="1"/>
        <v>0</v>
      </c>
    </row>
    <row r="31" spans="1:10" s="115" customFormat="1" ht="21.95" customHeight="1" outlineLevel="2">
      <c r="A31" s="120" t="s">
        <v>754</v>
      </c>
      <c r="B31" s="130"/>
      <c r="C31" s="112" t="s">
        <v>755</v>
      </c>
      <c r="D31" s="122" t="s">
        <v>756</v>
      </c>
      <c r="E31" s="114">
        <v>0</v>
      </c>
      <c r="F31" s="114">
        <v>0</v>
      </c>
      <c r="G31" s="114">
        <v>0</v>
      </c>
      <c r="H31" s="114">
        <f t="shared" ref="H31:I33" si="11">E31-F31</f>
        <v>0</v>
      </c>
      <c r="I31" s="114">
        <f t="shared" si="11"/>
        <v>0</v>
      </c>
      <c r="J31" s="123">
        <f t="shared" si="1"/>
        <v>0</v>
      </c>
    </row>
    <row r="32" spans="1:10" s="115" customFormat="1" ht="21.95" customHeight="1" outlineLevel="2">
      <c r="A32" s="120" t="s">
        <v>754</v>
      </c>
      <c r="B32" s="130"/>
      <c r="C32" s="112" t="s">
        <v>757</v>
      </c>
      <c r="D32" s="122" t="s">
        <v>758</v>
      </c>
      <c r="E32" s="114">
        <v>0</v>
      </c>
      <c r="F32" s="114">
        <v>0</v>
      </c>
      <c r="G32" s="114">
        <v>0</v>
      </c>
      <c r="H32" s="114">
        <f t="shared" si="11"/>
        <v>0</v>
      </c>
      <c r="I32" s="114">
        <f t="shared" si="11"/>
        <v>0</v>
      </c>
      <c r="J32" s="123">
        <f t="shared" si="1"/>
        <v>0</v>
      </c>
    </row>
    <row r="33" spans="1:10" s="115" customFormat="1" ht="21.95" customHeight="1" outlineLevel="2">
      <c r="A33" s="120" t="s">
        <v>754</v>
      </c>
      <c r="B33" s="130"/>
      <c r="C33" s="112" t="s">
        <v>759</v>
      </c>
      <c r="D33" s="122" t="s">
        <v>760</v>
      </c>
      <c r="E33" s="114">
        <v>0</v>
      </c>
      <c r="F33" s="114">
        <v>0</v>
      </c>
      <c r="G33" s="114">
        <v>0</v>
      </c>
      <c r="H33" s="114">
        <f t="shared" si="11"/>
        <v>0</v>
      </c>
      <c r="I33" s="114">
        <f t="shared" si="11"/>
        <v>0</v>
      </c>
      <c r="J33" s="123">
        <f t="shared" si="1"/>
        <v>0</v>
      </c>
    </row>
    <row r="34" spans="1:10" s="129" customFormat="1" ht="21.95" customHeight="1" outlineLevel="1">
      <c r="A34" s="131" t="s">
        <v>761</v>
      </c>
      <c r="B34" s="132">
        <v>216</v>
      </c>
      <c r="C34" s="126"/>
      <c r="D34" s="127" t="s">
        <v>762</v>
      </c>
      <c r="E34" s="128">
        <f>SUBTOTAL(9,E31:E33)</f>
        <v>0</v>
      </c>
      <c r="F34" s="128">
        <f t="shared" ref="F34:H34" si="12">SUBTOTAL(9,F31:F33)</f>
        <v>0</v>
      </c>
      <c r="G34" s="128">
        <f t="shared" si="12"/>
        <v>0</v>
      </c>
      <c r="H34" s="128">
        <f t="shared" si="12"/>
        <v>0</v>
      </c>
      <c r="I34" s="128">
        <f>SUBTOTAL(9,I31:I33)</f>
        <v>0</v>
      </c>
      <c r="J34" s="123">
        <f t="shared" si="1"/>
        <v>0</v>
      </c>
    </row>
    <row r="35" spans="1:10" s="115" customFormat="1" ht="21.95" customHeight="1" outlineLevel="2">
      <c r="A35" s="120" t="s">
        <v>763</v>
      </c>
      <c r="B35" s="130"/>
      <c r="C35" s="112" t="s">
        <v>764</v>
      </c>
      <c r="D35" s="122" t="s">
        <v>130</v>
      </c>
      <c r="E35" s="114">
        <v>0</v>
      </c>
      <c r="F35" s="114">
        <v>0</v>
      </c>
      <c r="G35" s="114">
        <v>0</v>
      </c>
      <c r="H35" s="114">
        <f t="shared" ref="H35:I37" si="13">E35-F35</f>
        <v>0</v>
      </c>
      <c r="I35" s="114">
        <f>F35-G35</f>
        <v>0</v>
      </c>
      <c r="J35" s="123">
        <f t="shared" si="1"/>
        <v>0</v>
      </c>
    </row>
    <row r="36" spans="1:10" s="115" customFormat="1" ht="21.95" customHeight="1" outlineLevel="2">
      <c r="A36" s="120" t="s">
        <v>763</v>
      </c>
      <c r="B36" s="130"/>
      <c r="C36" s="112" t="s">
        <v>765</v>
      </c>
      <c r="D36" s="122" t="s">
        <v>766</v>
      </c>
      <c r="E36" s="114">
        <v>0</v>
      </c>
      <c r="F36" s="114">
        <v>0</v>
      </c>
      <c r="G36" s="114">
        <v>0</v>
      </c>
      <c r="H36" s="114">
        <f t="shared" si="13"/>
        <v>0</v>
      </c>
      <c r="I36" s="114">
        <f t="shared" si="13"/>
        <v>0</v>
      </c>
      <c r="J36" s="123">
        <f t="shared" si="1"/>
        <v>0</v>
      </c>
    </row>
    <row r="37" spans="1:10" s="115" customFormat="1" ht="21.95" customHeight="1" outlineLevel="2">
      <c r="A37" s="120" t="s">
        <v>763</v>
      </c>
      <c r="B37" s="130"/>
      <c r="C37" s="112" t="s">
        <v>767</v>
      </c>
      <c r="D37" s="122" t="s">
        <v>768</v>
      </c>
      <c r="E37" s="114">
        <v>0</v>
      </c>
      <c r="F37" s="114">
        <v>0</v>
      </c>
      <c r="G37" s="114">
        <v>0</v>
      </c>
      <c r="H37" s="114">
        <f t="shared" si="13"/>
        <v>0</v>
      </c>
      <c r="I37" s="114">
        <f t="shared" si="13"/>
        <v>0</v>
      </c>
      <c r="J37" s="123">
        <f t="shared" si="1"/>
        <v>0</v>
      </c>
    </row>
    <row r="38" spans="1:10" s="129" customFormat="1" ht="21.95" customHeight="1" outlineLevel="1">
      <c r="A38" s="131" t="s">
        <v>769</v>
      </c>
      <c r="B38" s="132">
        <v>217</v>
      </c>
      <c r="C38" s="126"/>
      <c r="D38" s="127" t="s">
        <v>770</v>
      </c>
      <c r="E38" s="128">
        <f>SUBTOTAL(9,E35:E37)</f>
        <v>0</v>
      </c>
      <c r="F38" s="128">
        <f t="shared" ref="F38:H38" si="14">SUBTOTAL(9,F35:F37)</f>
        <v>0</v>
      </c>
      <c r="G38" s="128">
        <f t="shared" si="14"/>
        <v>0</v>
      </c>
      <c r="H38" s="128">
        <f t="shared" si="14"/>
        <v>0</v>
      </c>
      <c r="I38" s="128">
        <f>SUBTOTAL(9,I35:I37)</f>
        <v>0</v>
      </c>
      <c r="J38" s="123">
        <f t="shared" si="1"/>
        <v>0</v>
      </c>
    </row>
    <row r="39" spans="1:10" s="115" customFormat="1" ht="21.95" customHeight="1" outlineLevel="2">
      <c r="A39" s="120" t="s">
        <v>771</v>
      </c>
      <c r="B39" s="130"/>
      <c r="C39" s="112" t="s">
        <v>772</v>
      </c>
      <c r="D39" s="122" t="s">
        <v>773</v>
      </c>
      <c r="E39" s="114">
        <v>0</v>
      </c>
      <c r="F39" s="114">
        <v>0</v>
      </c>
      <c r="G39" s="114">
        <v>0</v>
      </c>
      <c r="H39" s="114">
        <f t="shared" ref="H39:I39" si="15">E39-F39</f>
        <v>0</v>
      </c>
      <c r="I39" s="114">
        <f t="shared" si="15"/>
        <v>0</v>
      </c>
      <c r="J39" s="123">
        <f t="shared" ref="J39:J40" si="16">SUM(E39:I39)</f>
        <v>0</v>
      </c>
    </row>
    <row r="40" spans="1:10" s="129" customFormat="1" ht="21.95" customHeight="1" outlineLevel="1">
      <c r="A40" s="131" t="s">
        <v>774</v>
      </c>
      <c r="B40" s="132">
        <v>218</v>
      </c>
      <c r="C40" s="126"/>
      <c r="D40" s="127" t="s">
        <v>775</v>
      </c>
      <c r="E40" s="128">
        <f>SUBTOTAL(9,E39)</f>
        <v>0</v>
      </c>
      <c r="F40" s="128">
        <f t="shared" ref="F40:I40" si="17">SUBTOTAL(9,F39)</f>
        <v>0</v>
      </c>
      <c r="G40" s="128">
        <f t="shared" si="17"/>
        <v>0</v>
      </c>
      <c r="H40" s="128">
        <f t="shared" si="17"/>
        <v>0</v>
      </c>
      <c r="I40" s="128">
        <f t="shared" si="17"/>
        <v>0</v>
      </c>
      <c r="J40" s="123">
        <f t="shared" si="16"/>
        <v>0</v>
      </c>
    </row>
    <row r="41" spans="1:10" s="115" customFormat="1" ht="21.95" customHeight="1" outlineLevel="2">
      <c r="A41" s="120" t="s">
        <v>776</v>
      </c>
      <c r="B41" s="130"/>
      <c r="C41" s="112" t="s">
        <v>777</v>
      </c>
      <c r="D41" s="122" t="s">
        <v>778</v>
      </c>
      <c r="E41" s="114">
        <v>0</v>
      </c>
      <c r="F41" s="114">
        <v>0</v>
      </c>
      <c r="G41" s="114">
        <v>0</v>
      </c>
      <c r="H41" s="114">
        <f t="shared" ref="H41:I54" si="18">E41-F41</f>
        <v>0</v>
      </c>
      <c r="I41" s="114">
        <f t="shared" si="18"/>
        <v>0</v>
      </c>
      <c r="J41" s="123">
        <f t="shared" si="1"/>
        <v>0</v>
      </c>
    </row>
    <row r="42" spans="1:10" s="115" customFormat="1" ht="21.95" customHeight="1" outlineLevel="2">
      <c r="A42" s="120" t="s">
        <v>776</v>
      </c>
      <c r="B42" s="130"/>
      <c r="C42" s="112" t="s">
        <v>779</v>
      </c>
      <c r="D42" s="122" t="s">
        <v>780</v>
      </c>
      <c r="E42" s="114">
        <v>0</v>
      </c>
      <c r="F42" s="114">
        <v>0</v>
      </c>
      <c r="G42" s="114">
        <v>0</v>
      </c>
      <c r="H42" s="114">
        <f t="shared" si="18"/>
        <v>0</v>
      </c>
      <c r="I42" s="114">
        <f t="shared" si="18"/>
        <v>0</v>
      </c>
      <c r="J42" s="123">
        <f t="shared" si="1"/>
        <v>0</v>
      </c>
    </row>
    <row r="43" spans="1:10" s="115" customFormat="1" ht="21.95" customHeight="1" outlineLevel="2">
      <c r="A43" s="120" t="s">
        <v>776</v>
      </c>
      <c r="B43" s="130"/>
      <c r="C43" s="112" t="s">
        <v>781</v>
      </c>
      <c r="D43" s="122" t="s">
        <v>782</v>
      </c>
      <c r="E43" s="114">
        <v>0</v>
      </c>
      <c r="F43" s="114">
        <v>0</v>
      </c>
      <c r="G43" s="114">
        <v>0</v>
      </c>
      <c r="H43" s="114">
        <f t="shared" si="18"/>
        <v>0</v>
      </c>
      <c r="I43" s="114">
        <f t="shared" si="18"/>
        <v>0</v>
      </c>
      <c r="J43" s="123">
        <f t="shared" si="1"/>
        <v>0</v>
      </c>
    </row>
    <row r="44" spans="1:10" s="115" customFormat="1" ht="21.95" customHeight="1" outlineLevel="2">
      <c r="A44" s="120" t="s">
        <v>776</v>
      </c>
      <c r="B44" s="130"/>
      <c r="C44" s="112" t="s">
        <v>783</v>
      </c>
      <c r="D44" s="122" t="s">
        <v>784</v>
      </c>
      <c r="E44" s="114">
        <v>0</v>
      </c>
      <c r="F44" s="114">
        <v>0</v>
      </c>
      <c r="G44" s="114">
        <v>0</v>
      </c>
      <c r="H44" s="114">
        <f t="shared" si="18"/>
        <v>0</v>
      </c>
      <c r="I44" s="114">
        <f t="shared" si="18"/>
        <v>0</v>
      </c>
      <c r="J44" s="123">
        <f t="shared" si="1"/>
        <v>0</v>
      </c>
    </row>
    <row r="45" spans="1:10" s="115" customFormat="1" ht="21.95" customHeight="1" outlineLevel="2">
      <c r="A45" s="120" t="s">
        <v>776</v>
      </c>
      <c r="B45" s="130"/>
      <c r="C45" s="112" t="s">
        <v>785</v>
      </c>
      <c r="D45" s="122" t="s">
        <v>786</v>
      </c>
      <c r="E45" s="114">
        <v>0</v>
      </c>
      <c r="F45" s="114">
        <v>0</v>
      </c>
      <c r="G45" s="114">
        <v>0</v>
      </c>
      <c r="H45" s="114">
        <f t="shared" si="18"/>
        <v>0</v>
      </c>
      <c r="I45" s="114">
        <f t="shared" si="18"/>
        <v>0</v>
      </c>
      <c r="J45" s="123">
        <f t="shared" si="1"/>
        <v>0</v>
      </c>
    </row>
    <row r="46" spans="1:10" s="115" customFormat="1" ht="21.95" customHeight="1" outlineLevel="2">
      <c r="A46" s="120" t="s">
        <v>776</v>
      </c>
      <c r="B46" s="130"/>
      <c r="C46" s="112" t="s">
        <v>787</v>
      </c>
      <c r="D46" s="122" t="s">
        <v>788</v>
      </c>
      <c r="E46" s="114">
        <v>0</v>
      </c>
      <c r="F46" s="114">
        <v>0</v>
      </c>
      <c r="G46" s="114">
        <v>0</v>
      </c>
      <c r="H46" s="114">
        <f t="shared" si="18"/>
        <v>0</v>
      </c>
      <c r="I46" s="114">
        <f t="shared" si="18"/>
        <v>0</v>
      </c>
      <c r="J46" s="123">
        <f t="shared" si="1"/>
        <v>0</v>
      </c>
    </row>
    <row r="47" spans="1:10" s="115" customFormat="1" ht="21.95" customHeight="1" outlineLevel="2">
      <c r="A47" s="120" t="s">
        <v>776</v>
      </c>
      <c r="B47" s="130"/>
      <c r="C47" s="112" t="s">
        <v>789</v>
      </c>
      <c r="D47" s="122" t="s">
        <v>790</v>
      </c>
      <c r="E47" s="114">
        <v>0</v>
      </c>
      <c r="F47" s="114">
        <v>0</v>
      </c>
      <c r="G47" s="114">
        <v>0</v>
      </c>
      <c r="H47" s="114">
        <f t="shared" si="18"/>
        <v>0</v>
      </c>
      <c r="I47" s="114">
        <f t="shared" si="18"/>
        <v>0</v>
      </c>
      <c r="J47" s="123">
        <f t="shared" si="1"/>
        <v>0</v>
      </c>
    </row>
    <row r="48" spans="1:10" s="115" customFormat="1" ht="21.95" customHeight="1" outlineLevel="2">
      <c r="A48" s="120" t="s">
        <v>776</v>
      </c>
      <c r="B48" s="130"/>
      <c r="C48" s="112" t="s">
        <v>791</v>
      </c>
      <c r="D48" s="122" t="s">
        <v>792</v>
      </c>
      <c r="E48" s="114">
        <v>0</v>
      </c>
      <c r="F48" s="114">
        <v>0</v>
      </c>
      <c r="G48" s="114">
        <v>0</v>
      </c>
      <c r="H48" s="114">
        <f t="shared" si="18"/>
        <v>0</v>
      </c>
      <c r="I48" s="114">
        <f t="shared" si="18"/>
        <v>0</v>
      </c>
      <c r="J48" s="123">
        <f t="shared" si="1"/>
        <v>0</v>
      </c>
    </row>
    <row r="49" spans="1:10" s="115" customFormat="1" ht="21.95" customHeight="1" outlineLevel="2">
      <c r="A49" s="120" t="s">
        <v>776</v>
      </c>
      <c r="B49" s="130"/>
      <c r="C49" s="112" t="s">
        <v>793</v>
      </c>
      <c r="D49" s="122" t="s">
        <v>794</v>
      </c>
      <c r="E49" s="114">
        <v>0</v>
      </c>
      <c r="F49" s="114">
        <v>0</v>
      </c>
      <c r="G49" s="114">
        <v>0</v>
      </c>
      <c r="H49" s="114">
        <f t="shared" si="18"/>
        <v>0</v>
      </c>
      <c r="I49" s="114">
        <f t="shared" si="18"/>
        <v>0</v>
      </c>
      <c r="J49" s="123">
        <f t="shared" si="1"/>
        <v>0</v>
      </c>
    </row>
    <row r="50" spans="1:10" s="115" customFormat="1" ht="21.95" customHeight="1" outlineLevel="2">
      <c r="A50" s="120" t="s">
        <v>776</v>
      </c>
      <c r="B50" s="130"/>
      <c r="C50" s="112" t="s">
        <v>795</v>
      </c>
      <c r="D50" s="122" t="s">
        <v>796</v>
      </c>
      <c r="E50" s="114">
        <v>0</v>
      </c>
      <c r="F50" s="114">
        <v>0</v>
      </c>
      <c r="G50" s="114">
        <v>0</v>
      </c>
      <c r="H50" s="114">
        <f t="shared" si="18"/>
        <v>0</v>
      </c>
      <c r="I50" s="114">
        <f t="shared" si="18"/>
        <v>0</v>
      </c>
      <c r="J50" s="123">
        <f t="shared" si="1"/>
        <v>0</v>
      </c>
    </row>
    <row r="51" spans="1:10" s="115" customFormat="1" ht="21.95" customHeight="1" outlineLevel="2">
      <c r="A51" s="120" t="s">
        <v>776</v>
      </c>
      <c r="B51" s="130"/>
      <c r="C51" s="112" t="s">
        <v>797</v>
      </c>
      <c r="D51" s="122" t="s">
        <v>798</v>
      </c>
      <c r="E51" s="114">
        <v>0</v>
      </c>
      <c r="F51" s="114">
        <v>0</v>
      </c>
      <c r="G51" s="114">
        <v>0</v>
      </c>
      <c r="H51" s="114">
        <f t="shared" si="18"/>
        <v>0</v>
      </c>
      <c r="I51" s="114">
        <f t="shared" si="18"/>
        <v>0</v>
      </c>
      <c r="J51" s="123">
        <f t="shared" si="1"/>
        <v>0</v>
      </c>
    </row>
    <row r="52" spans="1:10" s="115" customFormat="1" ht="21.95" customHeight="1" outlineLevel="2">
      <c r="A52" s="120" t="s">
        <v>776</v>
      </c>
      <c r="B52" s="130"/>
      <c r="C52" s="112" t="s">
        <v>799</v>
      </c>
      <c r="D52" s="122" t="s">
        <v>800</v>
      </c>
      <c r="E52" s="114">
        <v>0</v>
      </c>
      <c r="F52" s="114">
        <v>0</v>
      </c>
      <c r="G52" s="114">
        <v>0</v>
      </c>
      <c r="H52" s="114">
        <f t="shared" si="18"/>
        <v>0</v>
      </c>
      <c r="I52" s="114">
        <f t="shared" si="18"/>
        <v>0</v>
      </c>
      <c r="J52" s="123">
        <f t="shared" si="1"/>
        <v>0</v>
      </c>
    </row>
    <row r="53" spans="1:10" s="115" customFormat="1" ht="21.95" customHeight="1" outlineLevel="2">
      <c r="A53" s="120" t="s">
        <v>776</v>
      </c>
      <c r="B53" s="130"/>
      <c r="C53" s="112" t="s">
        <v>801</v>
      </c>
      <c r="D53" s="122" t="s">
        <v>802</v>
      </c>
      <c r="E53" s="114">
        <v>0</v>
      </c>
      <c r="F53" s="114">
        <v>0</v>
      </c>
      <c r="G53" s="114">
        <v>0</v>
      </c>
      <c r="H53" s="114">
        <f t="shared" si="18"/>
        <v>0</v>
      </c>
      <c r="I53" s="114">
        <f t="shared" si="18"/>
        <v>0</v>
      </c>
      <c r="J53" s="123">
        <f t="shared" si="1"/>
        <v>0</v>
      </c>
    </row>
    <row r="54" spans="1:10" s="115" customFormat="1" ht="21.95" customHeight="1" outlineLevel="2">
      <c r="A54" s="120" t="s">
        <v>776</v>
      </c>
      <c r="B54" s="130"/>
      <c r="C54" s="112" t="s">
        <v>803</v>
      </c>
      <c r="D54" s="122" t="s">
        <v>804</v>
      </c>
      <c r="E54" s="114">
        <v>0</v>
      </c>
      <c r="F54" s="114">
        <v>0</v>
      </c>
      <c r="G54" s="114">
        <v>0</v>
      </c>
      <c r="H54" s="114">
        <f t="shared" si="18"/>
        <v>0</v>
      </c>
      <c r="I54" s="114">
        <f t="shared" si="18"/>
        <v>0</v>
      </c>
      <c r="J54" s="123">
        <f t="shared" si="1"/>
        <v>0</v>
      </c>
    </row>
    <row r="55" spans="1:10" s="129" customFormat="1" ht="21.95" customHeight="1" outlineLevel="1">
      <c r="A55" s="131" t="s">
        <v>805</v>
      </c>
      <c r="B55" s="132" t="s">
        <v>806</v>
      </c>
      <c r="C55" s="126"/>
      <c r="D55" s="127" t="s">
        <v>807</v>
      </c>
      <c r="E55" s="128">
        <f>SUBTOTAL(9,E41:E54)</f>
        <v>0</v>
      </c>
      <c r="F55" s="128">
        <f t="shared" ref="F55:H55" si="19">SUBTOTAL(9,F41:F54)</f>
        <v>0</v>
      </c>
      <c r="G55" s="128">
        <f t="shared" si="19"/>
        <v>0</v>
      </c>
      <c r="H55" s="128">
        <f t="shared" si="19"/>
        <v>0</v>
      </c>
      <c r="I55" s="128">
        <f>SUBTOTAL(9,I41:I54)</f>
        <v>0</v>
      </c>
      <c r="J55" s="123">
        <f t="shared" si="1"/>
        <v>0</v>
      </c>
    </row>
    <row r="56" spans="1:10" s="115" customFormat="1" ht="21.95" customHeight="1" outlineLevel="2">
      <c r="A56" s="120" t="s">
        <v>808</v>
      </c>
      <c r="B56" s="130"/>
      <c r="C56" s="112" t="s">
        <v>809</v>
      </c>
      <c r="D56" s="122" t="s">
        <v>810</v>
      </c>
      <c r="E56" s="114">
        <v>0</v>
      </c>
      <c r="F56" s="114">
        <v>0</v>
      </c>
      <c r="G56" s="114">
        <v>0</v>
      </c>
      <c r="H56" s="114">
        <f t="shared" ref="H56:I56" si="20">E56-F56</f>
        <v>0</v>
      </c>
      <c r="I56" s="114">
        <f t="shared" si="20"/>
        <v>0</v>
      </c>
      <c r="J56" s="123">
        <f t="shared" si="1"/>
        <v>0</v>
      </c>
    </row>
    <row r="57" spans="1:10" s="129" customFormat="1" ht="21.95" customHeight="1" outlineLevel="1">
      <c r="A57" s="131" t="s">
        <v>811</v>
      </c>
      <c r="B57" s="132">
        <v>221</v>
      </c>
      <c r="C57" s="126"/>
      <c r="D57" s="127" t="s">
        <v>812</v>
      </c>
      <c r="E57" s="128">
        <f>SUBTOTAL(9,E56:E56)</f>
        <v>0</v>
      </c>
      <c r="F57" s="128">
        <f t="shared" ref="F57:H57" si="21">SUBTOTAL(9,F56:F56)</f>
        <v>0</v>
      </c>
      <c r="G57" s="128">
        <f t="shared" si="21"/>
        <v>0</v>
      </c>
      <c r="H57" s="128">
        <f t="shared" si="21"/>
        <v>0</v>
      </c>
      <c r="I57" s="128">
        <f>SUBTOTAL(9,I56:I56)</f>
        <v>0</v>
      </c>
      <c r="J57" s="123">
        <f t="shared" si="1"/>
        <v>0</v>
      </c>
    </row>
    <row r="58" spans="1:10" s="115" customFormat="1" ht="21.95" customHeight="1" outlineLevel="2">
      <c r="A58" s="120" t="s">
        <v>813</v>
      </c>
      <c r="B58" s="130"/>
      <c r="C58" s="112" t="s">
        <v>814</v>
      </c>
      <c r="D58" s="122" t="s">
        <v>815</v>
      </c>
      <c r="E58" s="114">
        <v>0</v>
      </c>
      <c r="F58" s="114">
        <v>0</v>
      </c>
      <c r="G58" s="114">
        <v>0</v>
      </c>
      <c r="H58" s="114">
        <f t="shared" ref="H58:I60" si="22">E58-F58</f>
        <v>0</v>
      </c>
      <c r="I58" s="114">
        <f t="shared" si="22"/>
        <v>0</v>
      </c>
      <c r="J58" s="123">
        <f t="shared" si="1"/>
        <v>0</v>
      </c>
    </row>
    <row r="59" spans="1:10" s="115" customFormat="1" ht="21.95" customHeight="1" outlineLevel="2">
      <c r="A59" s="120" t="s">
        <v>813</v>
      </c>
      <c r="B59" s="130"/>
      <c r="C59" s="112" t="s">
        <v>816</v>
      </c>
      <c r="D59" s="122" t="s">
        <v>817</v>
      </c>
      <c r="E59" s="114">
        <v>0</v>
      </c>
      <c r="F59" s="114">
        <v>0</v>
      </c>
      <c r="G59" s="114">
        <v>0</v>
      </c>
      <c r="H59" s="114">
        <f t="shared" si="22"/>
        <v>0</v>
      </c>
      <c r="I59" s="114">
        <f t="shared" si="22"/>
        <v>0</v>
      </c>
      <c r="J59" s="123">
        <f t="shared" si="1"/>
        <v>0</v>
      </c>
    </row>
    <row r="60" spans="1:10" s="115" customFormat="1" ht="21.95" customHeight="1" outlineLevel="2">
      <c r="A60" s="120" t="s">
        <v>813</v>
      </c>
      <c r="B60" s="130"/>
      <c r="C60" s="112" t="s">
        <v>818</v>
      </c>
      <c r="D60" s="122" t="s">
        <v>819</v>
      </c>
      <c r="E60" s="114">
        <v>0</v>
      </c>
      <c r="F60" s="114">
        <v>0</v>
      </c>
      <c r="G60" s="114">
        <v>0</v>
      </c>
      <c r="H60" s="114">
        <f t="shared" si="22"/>
        <v>0</v>
      </c>
      <c r="I60" s="114">
        <f t="shared" si="22"/>
        <v>0</v>
      </c>
      <c r="J60" s="123">
        <f t="shared" si="1"/>
        <v>0</v>
      </c>
    </row>
    <row r="61" spans="1:10" s="129" customFormat="1" ht="21.95" customHeight="1" outlineLevel="1">
      <c r="A61" s="131" t="s">
        <v>820</v>
      </c>
      <c r="B61" s="132">
        <v>222</v>
      </c>
      <c r="C61" s="126"/>
      <c r="D61" s="127" t="s">
        <v>821</v>
      </c>
      <c r="E61" s="128">
        <f>SUBTOTAL(9,E58:E60)</f>
        <v>0</v>
      </c>
      <c r="F61" s="128">
        <f t="shared" ref="F61:H61" si="23">SUBTOTAL(9,F58:F60)</f>
        <v>0</v>
      </c>
      <c r="G61" s="128">
        <f t="shared" si="23"/>
        <v>0</v>
      </c>
      <c r="H61" s="128">
        <f t="shared" si="23"/>
        <v>0</v>
      </c>
      <c r="I61" s="128">
        <f>SUBTOTAL(9,I58:I60)</f>
        <v>0</v>
      </c>
      <c r="J61" s="123">
        <f t="shared" si="1"/>
        <v>0</v>
      </c>
    </row>
    <row r="62" spans="1:10" s="115" customFormat="1" ht="21.95" customHeight="1" outlineLevel="2">
      <c r="A62" s="120" t="s">
        <v>822</v>
      </c>
      <c r="B62" s="130"/>
      <c r="C62" s="112" t="s">
        <v>823</v>
      </c>
      <c r="D62" s="122" t="s">
        <v>824</v>
      </c>
      <c r="E62" s="114">
        <v>0</v>
      </c>
      <c r="F62" s="114">
        <v>0</v>
      </c>
      <c r="G62" s="114">
        <v>0</v>
      </c>
      <c r="H62" s="114">
        <f t="shared" ref="H62:I66" si="24">E62-F62</f>
        <v>0</v>
      </c>
      <c r="I62" s="114">
        <f t="shared" si="24"/>
        <v>0</v>
      </c>
      <c r="J62" s="123">
        <f t="shared" si="1"/>
        <v>0</v>
      </c>
    </row>
    <row r="63" spans="1:10" s="115" customFormat="1" ht="21.95" customHeight="1" outlineLevel="2">
      <c r="A63" s="120" t="s">
        <v>822</v>
      </c>
      <c r="B63" s="130"/>
      <c r="C63" s="112" t="s">
        <v>825</v>
      </c>
      <c r="D63" s="122" t="s">
        <v>826</v>
      </c>
      <c r="E63" s="114">
        <v>0</v>
      </c>
      <c r="F63" s="114">
        <v>0</v>
      </c>
      <c r="G63" s="114">
        <v>0</v>
      </c>
      <c r="H63" s="114">
        <f t="shared" si="24"/>
        <v>0</v>
      </c>
      <c r="I63" s="114">
        <f t="shared" si="24"/>
        <v>0</v>
      </c>
      <c r="J63" s="123">
        <f t="shared" si="1"/>
        <v>0</v>
      </c>
    </row>
    <row r="64" spans="1:10" s="115" customFormat="1" ht="21.95" customHeight="1" outlineLevel="2">
      <c r="A64" s="120" t="s">
        <v>822</v>
      </c>
      <c r="B64" s="130"/>
      <c r="C64" s="112" t="s">
        <v>827</v>
      </c>
      <c r="D64" s="122" t="s">
        <v>828</v>
      </c>
      <c r="E64" s="114">
        <v>0</v>
      </c>
      <c r="F64" s="114">
        <v>0</v>
      </c>
      <c r="G64" s="114">
        <v>0</v>
      </c>
      <c r="H64" s="114">
        <f t="shared" si="24"/>
        <v>0</v>
      </c>
      <c r="I64" s="114">
        <f t="shared" si="24"/>
        <v>0</v>
      </c>
      <c r="J64" s="123">
        <f t="shared" si="1"/>
        <v>0</v>
      </c>
    </row>
    <row r="65" spans="1:10" s="115" customFormat="1" ht="21.95" customHeight="1" outlineLevel="2">
      <c r="A65" s="120" t="s">
        <v>822</v>
      </c>
      <c r="B65" s="130"/>
      <c r="C65" s="112" t="s">
        <v>829</v>
      </c>
      <c r="D65" s="122" t="s">
        <v>830</v>
      </c>
      <c r="E65" s="114">
        <v>0</v>
      </c>
      <c r="F65" s="114">
        <v>0</v>
      </c>
      <c r="G65" s="114">
        <v>0</v>
      </c>
      <c r="H65" s="114">
        <f t="shared" si="24"/>
        <v>0</v>
      </c>
      <c r="I65" s="114">
        <f t="shared" si="24"/>
        <v>0</v>
      </c>
      <c r="J65" s="123">
        <f t="shared" si="1"/>
        <v>0</v>
      </c>
    </row>
    <row r="66" spans="1:10" s="115" customFormat="1" ht="21.95" customHeight="1" outlineLevel="2">
      <c r="A66" s="120" t="s">
        <v>822</v>
      </c>
      <c r="B66" s="130"/>
      <c r="C66" s="112" t="s">
        <v>831</v>
      </c>
      <c r="D66" s="122" t="s">
        <v>832</v>
      </c>
      <c r="E66" s="114">
        <v>0</v>
      </c>
      <c r="F66" s="114">
        <v>0</v>
      </c>
      <c r="G66" s="114">
        <v>0</v>
      </c>
      <c r="H66" s="114">
        <f t="shared" si="24"/>
        <v>0</v>
      </c>
      <c r="I66" s="114">
        <f t="shared" si="24"/>
        <v>0</v>
      </c>
      <c r="J66" s="123">
        <f t="shared" si="1"/>
        <v>0</v>
      </c>
    </row>
    <row r="67" spans="1:10" s="129" customFormat="1" ht="21.95" customHeight="1" outlineLevel="1">
      <c r="A67" s="131" t="s">
        <v>833</v>
      </c>
      <c r="B67" s="132">
        <v>223</v>
      </c>
      <c r="C67" s="126"/>
      <c r="D67" s="127" t="s">
        <v>834</v>
      </c>
      <c r="E67" s="128">
        <f>SUBTOTAL(9,E62:E66)</f>
        <v>0</v>
      </c>
      <c r="F67" s="128">
        <f t="shared" ref="F67:H67" si="25">SUBTOTAL(9,F62:F66)</f>
        <v>0</v>
      </c>
      <c r="G67" s="128">
        <f t="shared" si="25"/>
        <v>0</v>
      </c>
      <c r="H67" s="128">
        <f t="shared" si="25"/>
        <v>0</v>
      </c>
      <c r="I67" s="128">
        <f>SUBTOTAL(9,I62:I66)</f>
        <v>0</v>
      </c>
      <c r="J67" s="123">
        <f t="shared" si="1"/>
        <v>0</v>
      </c>
    </row>
    <row r="68" spans="1:10" s="115" customFormat="1" ht="21.95" customHeight="1" outlineLevel="2">
      <c r="A68" s="120" t="s">
        <v>835</v>
      </c>
      <c r="B68" s="130"/>
      <c r="C68" s="112" t="s">
        <v>836</v>
      </c>
      <c r="D68" s="122" t="s">
        <v>837</v>
      </c>
      <c r="E68" s="114">
        <v>0</v>
      </c>
      <c r="F68" s="114">
        <v>0</v>
      </c>
      <c r="G68" s="114">
        <v>0</v>
      </c>
      <c r="H68" s="114">
        <f t="shared" ref="H68:I72" si="26">E68-F68</f>
        <v>0</v>
      </c>
      <c r="I68" s="114">
        <f t="shared" si="26"/>
        <v>0</v>
      </c>
      <c r="J68" s="123">
        <f t="shared" si="1"/>
        <v>0</v>
      </c>
    </row>
    <row r="69" spans="1:10" s="115" customFormat="1" ht="21.95" customHeight="1" outlineLevel="2">
      <c r="A69" s="120" t="s">
        <v>835</v>
      </c>
      <c r="B69" s="130"/>
      <c r="C69" s="112" t="s">
        <v>838</v>
      </c>
      <c r="D69" s="122" t="s">
        <v>839</v>
      </c>
      <c r="E69" s="114">
        <v>0</v>
      </c>
      <c r="F69" s="114">
        <v>0</v>
      </c>
      <c r="G69" s="114">
        <v>0</v>
      </c>
      <c r="H69" s="114">
        <f t="shared" si="26"/>
        <v>0</v>
      </c>
      <c r="I69" s="114">
        <f t="shared" si="26"/>
        <v>0</v>
      </c>
      <c r="J69" s="123">
        <f t="shared" si="1"/>
        <v>0</v>
      </c>
    </row>
    <row r="70" spans="1:10" s="115" customFormat="1" ht="21.95" customHeight="1" outlineLevel="2">
      <c r="A70" s="120" t="s">
        <v>835</v>
      </c>
      <c r="B70" s="130"/>
      <c r="C70" s="112" t="s">
        <v>840</v>
      </c>
      <c r="D70" s="122" t="s">
        <v>841</v>
      </c>
      <c r="E70" s="114">
        <v>0</v>
      </c>
      <c r="F70" s="114">
        <v>0</v>
      </c>
      <c r="G70" s="114">
        <v>0</v>
      </c>
      <c r="H70" s="114">
        <f t="shared" si="26"/>
        <v>0</v>
      </c>
      <c r="I70" s="114">
        <f t="shared" si="26"/>
        <v>0</v>
      </c>
      <c r="J70" s="123">
        <f t="shared" si="1"/>
        <v>0</v>
      </c>
    </row>
    <row r="71" spans="1:10" s="115" customFormat="1" ht="21.95" customHeight="1" outlineLevel="2">
      <c r="A71" s="120" t="s">
        <v>835</v>
      </c>
      <c r="B71" s="130"/>
      <c r="C71" s="112" t="s">
        <v>842</v>
      </c>
      <c r="D71" s="122" t="s">
        <v>843</v>
      </c>
      <c r="E71" s="114">
        <v>0</v>
      </c>
      <c r="F71" s="114">
        <v>0</v>
      </c>
      <c r="G71" s="114">
        <v>0</v>
      </c>
      <c r="H71" s="114">
        <f t="shared" si="26"/>
        <v>0</v>
      </c>
      <c r="I71" s="114">
        <f t="shared" si="26"/>
        <v>0</v>
      </c>
      <c r="J71" s="123">
        <f t="shared" si="1"/>
        <v>0</v>
      </c>
    </row>
    <row r="72" spans="1:10" s="115" customFormat="1" ht="21.95" customHeight="1" outlineLevel="2">
      <c r="A72" s="120" t="s">
        <v>835</v>
      </c>
      <c r="B72" s="130"/>
      <c r="C72" s="112" t="s">
        <v>844</v>
      </c>
      <c r="D72" s="122" t="s">
        <v>845</v>
      </c>
      <c r="E72" s="114">
        <v>0</v>
      </c>
      <c r="F72" s="114">
        <v>0</v>
      </c>
      <c r="G72" s="114">
        <v>0</v>
      </c>
      <c r="H72" s="114">
        <f t="shared" si="26"/>
        <v>0</v>
      </c>
      <c r="I72" s="114">
        <f t="shared" si="26"/>
        <v>0</v>
      </c>
      <c r="J72" s="123">
        <f t="shared" si="1"/>
        <v>0</v>
      </c>
    </row>
    <row r="73" spans="1:10" s="129" customFormat="1" ht="21.95" customHeight="1" outlineLevel="1">
      <c r="A73" s="131" t="s">
        <v>846</v>
      </c>
      <c r="B73" s="132">
        <v>224</v>
      </c>
      <c r="C73" s="126"/>
      <c r="D73" s="127" t="s">
        <v>847</v>
      </c>
      <c r="E73" s="128">
        <f>SUBTOTAL(9,E68:E72)</f>
        <v>0</v>
      </c>
      <c r="F73" s="128">
        <f t="shared" ref="F73:H73" si="27">SUBTOTAL(9,F68:F72)</f>
        <v>0</v>
      </c>
      <c r="G73" s="128">
        <f t="shared" si="27"/>
        <v>0</v>
      </c>
      <c r="H73" s="128">
        <f t="shared" si="27"/>
        <v>0</v>
      </c>
      <c r="I73" s="128">
        <f>SUBTOTAL(9,I68:I72)</f>
        <v>0</v>
      </c>
      <c r="J73" s="123">
        <f t="shared" si="1"/>
        <v>0</v>
      </c>
    </row>
    <row r="74" spans="1:10" s="115" customFormat="1" ht="21.95" customHeight="1" outlineLevel="2">
      <c r="A74" s="120" t="s">
        <v>848</v>
      </c>
      <c r="B74" s="130"/>
      <c r="C74" s="112" t="s">
        <v>849</v>
      </c>
      <c r="D74" s="122" t="s">
        <v>850</v>
      </c>
      <c r="E74" s="114">
        <v>0</v>
      </c>
      <c r="F74" s="114">
        <v>0</v>
      </c>
      <c r="G74" s="114">
        <v>0</v>
      </c>
      <c r="H74" s="114">
        <f t="shared" ref="H74:I75" si="28">E74-F74</f>
        <v>0</v>
      </c>
      <c r="I74" s="114">
        <f t="shared" si="28"/>
        <v>0</v>
      </c>
      <c r="J74" s="123">
        <f t="shared" si="1"/>
        <v>0</v>
      </c>
    </row>
    <row r="75" spans="1:10" s="115" customFormat="1" ht="21.95" customHeight="1" outlineLevel="2">
      <c r="A75" s="120" t="s">
        <v>848</v>
      </c>
      <c r="B75" s="130"/>
      <c r="C75" s="112" t="s">
        <v>851</v>
      </c>
      <c r="D75" s="122" t="s">
        <v>852</v>
      </c>
      <c r="E75" s="114">
        <v>0</v>
      </c>
      <c r="F75" s="114">
        <v>0</v>
      </c>
      <c r="G75" s="114">
        <v>0</v>
      </c>
      <c r="H75" s="114">
        <f t="shared" si="28"/>
        <v>0</v>
      </c>
      <c r="I75" s="114">
        <f t="shared" si="28"/>
        <v>0</v>
      </c>
      <c r="J75" s="123">
        <f t="shared" si="1"/>
        <v>0</v>
      </c>
    </row>
    <row r="76" spans="1:10" s="129" customFormat="1" ht="21.95" customHeight="1" outlineLevel="1">
      <c r="A76" s="131" t="s">
        <v>853</v>
      </c>
      <c r="B76" s="132">
        <v>225</v>
      </c>
      <c r="C76" s="126"/>
      <c r="D76" s="127" t="s">
        <v>854</v>
      </c>
      <c r="E76" s="128">
        <f>SUBTOTAL(9,E74:E75)</f>
        <v>0</v>
      </c>
      <c r="F76" s="128">
        <f t="shared" ref="F76:H76" si="29">SUBTOTAL(9,F74:F75)</f>
        <v>0</v>
      </c>
      <c r="G76" s="128">
        <f t="shared" si="29"/>
        <v>0</v>
      </c>
      <c r="H76" s="128">
        <f t="shared" si="29"/>
        <v>0</v>
      </c>
      <c r="I76" s="128">
        <f>SUBTOTAL(9,I74:I75)</f>
        <v>0</v>
      </c>
      <c r="J76" s="123">
        <f t="shared" si="1"/>
        <v>0</v>
      </c>
    </row>
    <row r="77" spans="1:10" s="135" customFormat="1" ht="21.95" customHeight="1" outlineLevel="1">
      <c r="A77" s="120"/>
      <c r="B77" s="130"/>
      <c r="C77" s="133"/>
      <c r="D77" s="134" t="s">
        <v>855</v>
      </c>
      <c r="E77" s="114">
        <v>0</v>
      </c>
      <c r="F77" s="114">
        <v>0</v>
      </c>
      <c r="G77" s="114">
        <v>0</v>
      </c>
      <c r="H77" s="114">
        <f t="shared" ref="H77:I79" si="30">E77-F77</f>
        <v>0</v>
      </c>
      <c r="I77" s="114">
        <f t="shared" si="30"/>
        <v>0</v>
      </c>
      <c r="J77" s="123">
        <f t="shared" si="1"/>
        <v>0</v>
      </c>
    </row>
    <row r="78" spans="1:10" s="115" customFormat="1" ht="21.95" customHeight="1" outlineLevel="2">
      <c r="A78" s="120" t="s">
        <v>856</v>
      </c>
      <c r="B78" s="130"/>
      <c r="C78" s="112" t="s">
        <v>857</v>
      </c>
      <c r="D78" s="122" t="s">
        <v>858</v>
      </c>
      <c r="E78" s="114">
        <v>0</v>
      </c>
      <c r="F78" s="114">
        <v>0</v>
      </c>
      <c r="G78" s="114">
        <v>0</v>
      </c>
      <c r="H78" s="114">
        <f t="shared" si="30"/>
        <v>0</v>
      </c>
      <c r="I78" s="114">
        <f t="shared" si="30"/>
        <v>0</v>
      </c>
      <c r="J78" s="123">
        <f t="shared" ref="J78:J141" si="31">SUM(E78:I78)</f>
        <v>0</v>
      </c>
    </row>
    <row r="79" spans="1:10" s="115" customFormat="1" ht="21.95" customHeight="1" outlineLevel="2">
      <c r="A79" s="120" t="s">
        <v>856</v>
      </c>
      <c r="B79" s="130"/>
      <c r="C79" s="112" t="s">
        <v>859</v>
      </c>
      <c r="D79" s="122" t="s">
        <v>860</v>
      </c>
      <c r="E79" s="114">
        <v>0</v>
      </c>
      <c r="F79" s="114">
        <v>0</v>
      </c>
      <c r="G79" s="114">
        <v>0</v>
      </c>
      <c r="H79" s="114">
        <f t="shared" si="30"/>
        <v>0</v>
      </c>
      <c r="I79" s="114">
        <f t="shared" si="30"/>
        <v>0</v>
      </c>
      <c r="J79" s="123">
        <f t="shared" si="31"/>
        <v>0</v>
      </c>
    </row>
    <row r="80" spans="1:10" s="129" customFormat="1" ht="21.95" customHeight="1" outlineLevel="1">
      <c r="A80" s="131" t="s">
        <v>861</v>
      </c>
      <c r="B80" s="132">
        <v>231</v>
      </c>
      <c r="C80" s="126"/>
      <c r="D80" s="127" t="s">
        <v>862</v>
      </c>
      <c r="E80" s="128">
        <f>SUBTOTAL(9,E78:E79)</f>
        <v>0</v>
      </c>
      <c r="F80" s="128">
        <f t="shared" ref="F80:H80" si="32">SUBTOTAL(9,F78:F79)</f>
        <v>0</v>
      </c>
      <c r="G80" s="128">
        <f t="shared" si="32"/>
        <v>0</v>
      </c>
      <c r="H80" s="128">
        <f t="shared" si="32"/>
        <v>0</v>
      </c>
      <c r="I80" s="128">
        <f>SUBTOTAL(9,I78:I79)</f>
        <v>0</v>
      </c>
      <c r="J80" s="123">
        <f t="shared" si="31"/>
        <v>0</v>
      </c>
    </row>
    <row r="81" spans="1:10" s="115" customFormat="1" ht="21.95" customHeight="1" outlineLevel="2">
      <c r="A81" s="120" t="s">
        <v>863</v>
      </c>
      <c r="B81" s="130"/>
      <c r="C81" s="112" t="s">
        <v>864</v>
      </c>
      <c r="D81" s="122" t="s">
        <v>865</v>
      </c>
      <c r="E81" s="114">
        <v>0</v>
      </c>
      <c r="F81" s="114">
        <v>0</v>
      </c>
      <c r="G81" s="114">
        <v>0</v>
      </c>
      <c r="H81" s="114">
        <f t="shared" ref="H81:I82" si="33">E81-F81</f>
        <v>0</v>
      </c>
      <c r="I81" s="114">
        <f t="shared" si="33"/>
        <v>0</v>
      </c>
      <c r="J81" s="123">
        <f t="shared" si="31"/>
        <v>0</v>
      </c>
    </row>
    <row r="82" spans="1:10" s="115" customFormat="1" ht="21.95" customHeight="1" outlineLevel="2">
      <c r="A82" s="120" t="s">
        <v>863</v>
      </c>
      <c r="B82" s="130"/>
      <c r="C82" s="112" t="s">
        <v>866</v>
      </c>
      <c r="D82" s="122" t="s">
        <v>867</v>
      </c>
      <c r="E82" s="114">
        <v>0</v>
      </c>
      <c r="F82" s="114">
        <v>0</v>
      </c>
      <c r="G82" s="114">
        <v>0</v>
      </c>
      <c r="H82" s="114">
        <f t="shared" si="33"/>
        <v>0</v>
      </c>
      <c r="I82" s="114">
        <f t="shared" si="33"/>
        <v>0</v>
      </c>
      <c r="J82" s="123">
        <f t="shared" si="31"/>
        <v>0</v>
      </c>
    </row>
    <row r="83" spans="1:10" s="129" customFormat="1" ht="21.95" customHeight="1" outlineLevel="1">
      <c r="A83" s="131" t="s">
        <v>868</v>
      </c>
      <c r="B83" s="132">
        <v>232</v>
      </c>
      <c r="C83" s="126"/>
      <c r="D83" s="127" t="s">
        <v>869</v>
      </c>
      <c r="E83" s="128">
        <f>SUBTOTAL(9,E81:E82)</f>
        <v>0</v>
      </c>
      <c r="F83" s="128">
        <f t="shared" ref="F83:H83" si="34">SUBTOTAL(9,F81:F82)</f>
        <v>0</v>
      </c>
      <c r="G83" s="128">
        <f t="shared" si="34"/>
        <v>0</v>
      </c>
      <c r="H83" s="128">
        <f t="shared" si="34"/>
        <v>0</v>
      </c>
      <c r="I83" s="128">
        <f>SUBTOTAL(9,I81:I82)</f>
        <v>0</v>
      </c>
      <c r="J83" s="123">
        <f t="shared" si="31"/>
        <v>0</v>
      </c>
    </row>
    <row r="84" spans="1:10" s="115" customFormat="1" ht="21.95" customHeight="1" outlineLevel="2">
      <c r="A84" s="120" t="s">
        <v>870</v>
      </c>
      <c r="B84" s="130"/>
      <c r="C84" s="112" t="s">
        <v>871</v>
      </c>
      <c r="D84" s="122" t="s">
        <v>872</v>
      </c>
      <c r="E84" s="114">
        <v>0</v>
      </c>
      <c r="F84" s="114">
        <v>0</v>
      </c>
      <c r="G84" s="114">
        <v>0</v>
      </c>
      <c r="H84" s="114">
        <f t="shared" ref="H84:I84" si="35">E84-F84</f>
        <v>0</v>
      </c>
      <c r="I84" s="114">
        <f t="shared" si="35"/>
        <v>0</v>
      </c>
      <c r="J84" s="123">
        <f t="shared" si="31"/>
        <v>0</v>
      </c>
    </row>
    <row r="85" spans="1:10" s="129" customFormat="1" ht="21.95" customHeight="1" outlineLevel="1">
      <c r="A85" s="131" t="s">
        <v>873</v>
      </c>
      <c r="B85" s="132">
        <v>233</v>
      </c>
      <c r="C85" s="126"/>
      <c r="D85" s="127" t="s">
        <v>874</v>
      </c>
      <c r="E85" s="128">
        <f>SUBTOTAL(9,E84:E84)</f>
        <v>0</v>
      </c>
      <c r="F85" s="128">
        <f t="shared" ref="F85:H85" si="36">SUBTOTAL(9,F84:F84)</f>
        <v>0</v>
      </c>
      <c r="G85" s="128">
        <f t="shared" si="36"/>
        <v>0</v>
      </c>
      <c r="H85" s="128">
        <f t="shared" si="36"/>
        <v>0</v>
      </c>
      <c r="I85" s="128">
        <f>SUBTOTAL(9,I84:I84)</f>
        <v>0</v>
      </c>
      <c r="J85" s="123">
        <f t="shared" si="31"/>
        <v>0</v>
      </c>
    </row>
    <row r="86" spans="1:10" s="115" customFormat="1" ht="21.95" customHeight="1" outlineLevel="2">
      <c r="A86" s="120" t="s">
        <v>875</v>
      </c>
      <c r="B86" s="130"/>
      <c r="C86" s="112" t="s">
        <v>876</v>
      </c>
      <c r="D86" s="122" t="s">
        <v>877</v>
      </c>
      <c r="E86" s="114">
        <v>0</v>
      </c>
      <c r="F86" s="114">
        <v>0</v>
      </c>
      <c r="G86" s="114">
        <v>0</v>
      </c>
      <c r="H86" s="114">
        <f t="shared" ref="H86:I87" si="37">E86-F86</f>
        <v>0</v>
      </c>
      <c r="I86" s="114">
        <f t="shared" si="37"/>
        <v>0</v>
      </c>
      <c r="J86" s="123">
        <f t="shared" si="31"/>
        <v>0</v>
      </c>
    </row>
    <row r="87" spans="1:10" s="115" customFormat="1" ht="21.95" customHeight="1" outlineLevel="2">
      <c r="A87" s="120" t="s">
        <v>875</v>
      </c>
      <c r="B87" s="130"/>
      <c r="C87" s="112" t="s">
        <v>878</v>
      </c>
      <c r="D87" s="122" t="s">
        <v>879</v>
      </c>
      <c r="E87" s="114">
        <v>0</v>
      </c>
      <c r="F87" s="114">
        <v>0</v>
      </c>
      <c r="G87" s="114">
        <v>0</v>
      </c>
      <c r="H87" s="114">
        <f t="shared" si="37"/>
        <v>0</v>
      </c>
      <c r="I87" s="114">
        <f t="shared" si="37"/>
        <v>0</v>
      </c>
      <c r="J87" s="123">
        <f t="shared" si="31"/>
        <v>0</v>
      </c>
    </row>
    <row r="88" spans="1:10" s="129" customFormat="1" ht="21.95" customHeight="1" outlineLevel="1">
      <c r="A88" s="131" t="s">
        <v>880</v>
      </c>
      <c r="B88" s="132">
        <v>234</v>
      </c>
      <c r="C88" s="126"/>
      <c r="D88" s="127" t="s">
        <v>881</v>
      </c>
      <c r="E88" s="128">
        <f>SUBTOTAL(9,E86:E87)</f>
        <v>0</v>
      </c>
      <c r="F88" s="128">
        <f t="shared" ref="F88:H88" si="38">SUBTOTAL(9,F86:F87)</f>
        <v>0</v>
      </c>
      <c r="G88" s="128">
        <f t="shared" si="38"/>
        <v>0</v>
      </c>
      <c r="H88" s="128">
        <f t="shared" si="38"/>
        <v>0</v>
      </c>
      <c r="I88" s="128">
        <f>SUBTOTAL(9,I86:I87)</f>
        <v>0</v>
      </c>
      <c r="J88" s="123">
        <f t="shared" si="31"/>
        <v>0</v>
      </c>
    </row>
    <row r="89" spans="1:10" s="115" customFormat="1" ht="21.95" customHeight="1" outlineLevel="2">
      <c r="A89" s="136" t="s">
        <v>882</v>
      </c>
      <c r="B89" s="130"/>
      <c r="C89" s="112" t="s">
        <v>883</v>
      </c>
      <c r="D89" s="122" t="s">
        <v>884</v>
      </c>
      <c r="E89" s="114">
        <v>0</v>
      </c>
      <c r="F89" s="114">
        <v>0</v>
      </c>
      <c r="G89" s="114">
        <v>0</v>
      </c>
      <c r="H89" s="114">
        <f t="shared" ref="H89:I93" si="39">E89-F89</f>
        <v>0</v>
      </c>
      <c r="I89" s="114">
        <f t="shared" si="39"/>
        <v>0</v>
      </c>
      <c r="J89" s="123">
        <f t="shared" si="31"/>
        <v>0</v>
      </c>
    </row>
    <row r="90" spans="1:10" s="115" customFormat="1" ht="21.95" customHeight="1" outlineLevel="2">
      <c r="A90" s="136" t="s">
        <v>882</v>
      </c>
      <c r="B90" s="130"/>
      <c r="C90" s="112" t="s">
        <v>885</v>
      </c>
      <c r="D90" s="122" t="s">
        <v>886</v>
      </c>
      <c r="E90" s="114">
        <v>0</v>
      </c>
      <c r="F90" s="114">
        <v>0</v>
      </c>
      <c r="G90" s="114">
        <v>0</v>
      </c>
      <c r="H90" s="114">
        <f t="shared" si="39"/>
        <v>0</v>
      </c>
      <c r="I90" s="114">
        <f t="shared" si="39"/>
        <v>0</v>
      </c>
      <c r="J90" s="123">
        <f t="shared" si="31"/>
        <v>0</v>
      </c>
    </row>
    <row r="91" spans="1:10" s="115" customFormat="1" ht="21.95" customHeight="1" outlineLevel="2">
      <c r="A91" s="136" t="s">
        <v>882</v>
      </c>
      <c r="B91" s="130"/>
      <c r="C91" s="112" t="s">
        <v>887</v>
      </c>
      <c r="D91" s="122" t="s">
        <v>888</v>
      </c>
      <c r="E91" s="114">
        <v>0</v>
      </c>
      <c r="F91" s="114">
        <v>0</v>
      </c>
      <c r="G91" s="114">
        <v>0</v>
      </c>
      <c r="H91" s="114">
        <f t="shared" si="39"/>
        <v>0</v>
      </c>
      <c r="I91" s="114">
        <f t="shared" si="39"/>
        <v>0</v>
      </c>
      <c r="J91" s="123">
        <f t="shared" si="31"/>
        <v>0</v>
      </c>
    </row>
    <row r="92" spans="1:10" s="115" customFormat="1" ht="21.95" customHeight="1" outlineLevel="2">
      <c r="A92" s="136" t="s">
        <v>882</v>
      </c>
      <c r="B92" s="130"/>
      <c r="C92" s="112" t="s">
        <v>889</v>
      </c>
      <c r="D92" s="122" t="s">
        <v>890</v>
      </c>
      <c r="E92" s="114">
        <v>0</v>
      </c>
      <c r="F92" s="114">
        <v>0</v>
      </c>
      <c r="G92" s="114">
        <v>0</v>
      </c>
      <c r="H92" s="114">
        <f t="shared" si="39"/>
        <v>0</v>
      </c>
      <c r="I92" s="114">
        <f t="shared" si="39"/>
        <v>0</v>
      </c>
      <c r="J92" s="123">
        <f t="shared" si="31"/>
        <v>0</v>
      </c>
    </row>
    <row r="93" spans="1:10" s="115" customFormat="1" ht="21.95" customHeight="1" outlineLevel="2">
      <c r="A93" s="136" t="s">
        <v>882</v>
      </c>
      <c r="B93" s="130"/>
      <c r="C93" s="112" t="s">
        <v>891</v>
      </c>
      <c r="D93" s="122" t="s">
        <v>892</v>
      </c>
      <c r="E93" s="114">
        <v>0</v>
      </c>
      <c r="F93" s="114">
        <v>0</v>
      </c>
      <c r="G93" s="114">
        <v>0</v>
      </c>
      <c r="H93" s="114">
        <f t="shared" si="39"/>
        <v>0</v>
      </c>
      <c r="I93" s="114">
        <f t="shared" si="39"/>
        <v>0</v>
      </c>
      <c r="J93" s="123">
        <f t="shared" si="31"/>
        <v>0</v>
      </c>
    </row>
    <row r="94" spans="1:10" s="129" customFormat="1" ht="21.95" customHeight="1" outlineLevel="1">
      <c r="A94" s="131" t="s">
        <v>893</v>
      </c>
      <c r="B94" s="132">
        <v>235</v>
      </c>
      <c r="C94" s="126"/>
      <c r="D94" s="127" t="s">
        <v>894</v>
      </c>
      <c r="E94" s="128">
        <f>SUBTOTAL(9,E89:E93)</f>
        <v>0</v>
      </c>
      <c r="F94" s="128">
        <f t="shared" ref="F94:H94" si="40">SUBTOTAL(9,F89:F93)</f>
        <v>0</v>
      </c>
      <c r="G94" s="128">
        <f t="shared" si="40"/>
        <v>0</v>
      </c>
      <c r="H94" s="128">
        <f t="shared" si="40"/>
        <v>0</v>
      </c>
      <c r="I94" s="128">
        <f>SUBTOTAL(9,I89:I93)</f>
        <v>0</v>
      </c>
      <c r="J94" s="123">
        <f t="shared" si="31"/>
        <v>0</v>
      </c>
    </row>
    <row r="95" spans="1:10" s="115" customFormat="1" ht="21.95" customHeight="1" outlineLevel="2">
      <c r="A95" s="120" t="s">
        <v>895</v>
      </c>
      <c r="B95" s="130"/>
      <c r="C95" s="112" t="s">
        <v>896</v>
      </c>
      <c r="D95" s="122" t="s">
        <v>897</v>
      </c>
      <c r="E95" s="114">
        <v>0</v>
      </c>
      <c r="F95" s="114">
        <v>0</v>
      </c>
      <c r="G95" s="114">
        <v>0</v>
      </c>
      <c r="H95" s="114">
        <f t="shared" ref="H95:I99" si="41">E95-F95</f>
        <v>0</v>
      </c>
      <c r="I95" s="114">
        <f t="shared" si="41"/>
        <v>0</v>
      </c>
      <c r="J95" s="123">
        <f t="shared" si="31"/>
        <v>0</v>
      </c>
    </row>
    <row r="96" spans="1:10" s="115" customFormat="1" ht="21.95" customHeight="1" outlineLevel="2">
      <c r="A96" s="120" t="s">
        <v>895</v>
      </c>
      <c r="B96" s="130"/>
      <c r="C96" s="112" t="s">
        <v>898</v>
      </c>
      <c r="D96" s="122" t="s">
        <v>899</v>
      </c>
      <c r="E96" s="114">
        <v>0</v>
      </c>
      <c r="F96" s="114">
        <v>0</v>
      </c>
      <c r="G96" s="114">
        <v>0</v>
      </c>
      <c r="H96" s="114">
        <f t="shared" si="41"/>
        <v>0</v>
      </c>
      <c r="I96" s="114">
        <f t="shared" si="41"/>
        <v>0</v>
      </c>
      <c r="J96" s="123">
        <f t="shared" si="31"/>
        <v>0</v>
      </c>
    </row>
    <row r="97" spans="1:10" s="115" customFormat="1" ht="21.95" customHeight="1" outlineLevel="2">
      <c r="A97" s="120" t="s">
        <v>895</v>
      </c>
      <c r="B97" s="130"/>
      <c r="C97" s="112" t="s">
        <v>900</v>
      </c>
      <c r="D97" s="122" t="s">
        <v>901</v>
      </c>
      <c r="E97" s="114">
        <v>0</v>
      </c>
      <c r="F97" s="114">
        <v>0</v>
      </c>
      <c r="G97" s="114">
        <v>0</v>
      </c>
      <c r="H97" s="114">
        <f t="shared" si="41"/>
        <v>0</v>
      </c>
      <c r="I97" s="114">
        <f t="shared" si="41"/>
        <v>0</v>
      </c>
      <c r="J97" s="123">
        <f t="shared" si="31"/>
        <v>0</v>
      </c>
    </row>
    <row r="98" spans="1:10" s="115" customFormat="1" ht="21.95" customHeight="1" outlineLevel="2">
      <c r="A98" s="120" t="s">
        <v>895</v>
      </c>
      <c r="B98" s="130"/>
      <c r="C98" s="112" t="s">
        <v>902</v>
      </c>
      <c r="D98" s="122" t="s">
        <v>903</v>
      </c>
      <c r="E98" s="114">
        <v>0</v>
      </c>
      <c r="F98" s="114">
        <v>0</v>
      </c>
      <c r="G98" s="114">
        <v>0</v>
      </c>
      <c r="H98" s="114">
        <f t="shared" si="41"/>
        <v>0</v>
      </c>
      <c r="I98" s="114">
        <f t="shared" si="41"/>
        <v>0</v>
      </c>
      <c r="J98" s="123">
        <f t="shared" si="31"/>
        <v>0</v>
      </c>
    </row>
    <row r="99" spans="1:10" s="115" customFormat="1" ht="21.95" customHeight="1" outlineLevel="2">
      <c r="A99" s="120" t="s">
        <v>895</v>
      </c>
      <c r="B99" s="130"/>
      <c r="C99" s="112" t="s">
        <v>904</v>
      </c>
      <c r="D99" s="122" t="s">
        <v>905</v>
      </c>
      <c r="E99" s="114">
        <v>0</v>
      </c>
      <c r="F99" s="114">
        <v>0</v>
      </c>
      <c r="G99" s="114">
        <v>0</v>
      </c>
      <c r="H99" s="114">
        <f t="shared" si="41"/>
        <v>0</v>
      </c>
      <c r="I99" s="114">
        <f t="shared" si="41"/>
        <v>0</v>
      </c>
      <c r="J99" s="123">
        <f t="shared" si="31"/>
        <v>0</v>
      </c>
    </row>
    <row r="100" spans="1:10" s="129" customFormat="1" ht="21.95" customHeight="1" outlineLevel="1">
      <c r="A100" s="131" t="s">
        <v>906</v>
      </c>
      <c r="B100" s="132">
        <v>236</v>
      </c>
      <c r="C100" s="126"/>
      <c r="D100" s="127" t="s">
        <v>907</v>
      </c>
      <c r="E100" s="128">
        <f>SUBTOTAL(9,E95:E99)</f>
        <v>0</v>
      </c>
      <c r="F100" s="128">
        <f t="shared" ref="F100:H100" si="42">SUBTOTAL(9,F95:F99)</f>
        <v>0</v>
      </c>
      <c r="G100" s="128">
        <f t="shared" si="42"/>
        <v>0</v>
      </c>
      <c r="H100" s="128">
        <f t="shared" si="42"/>
        <v>0</v>
      </c>
      <c r="I100" s="128">
        <f>SUBTOTAL(9,I95:I99)</f>
        <v>0</v>
      </c>
      <c r="J100" s="123">
        <f t="shared" si="31"/>
        <v>0</v>
      </c>
    </row>
    <row r="101" spans="1:10" s="115" customFormat="1" ht="21.95" customHeight="1" outlineLevel="2">
      <c r="A101" s="120" t="s">
        <v>908</v>
      </c>
      <c r="B101" s="130"/>
      <c r="C101" s="112" t="s">
        <v>909</v>
      </c>
      <c r="D101" s="122" t="s">
        <v>910</v>
      </c>
      <c r="E101" s="114">
        <v>0</v>
      </c>
      <c r="F101" s="114">
        <v>0</v>
      </c>
      <c r="G101" s="114">
        <v>0</v>
      </c>
      <c r="H101" s="114">
        <f t="shared" ref="H101:I103" si="43">E101-F101</f>
        <v>0</v>
      </c>
      <c r="I101" s="114">
        <f t="shared" si="43"/>
        <v>0</v>
      </c>
      <c r="J101" s="123">
        <f t="shared" si="31"/>
        <v>0</v>
      </c>
    </row>
    <row r="102" spans="1:10" s="115" customFormat="1" ht="21.95" customHeight="1" outlineLevel="2">
      <c r="A102" s="120" t="s">
        <v>908</v>
      </c>
      <c r="B102" s="130"/>
      <c r="C102" s="112" t="s">
        <v>911</v>
      </c>
      <c r="D102" s="122" t="s">
        <v>912</v>
      </c>
      <c r="E102" s="114">
        <v>0</v>
      </c>
      <c r="F102" s="114">
        <v>0</v>
      </c>
      <c r="G102" s="114">
        <v>0</v>
      </c>
      <c r="H102" s="114">
        <f t="shared" si="43"/>
        <v>0</v>
      </c>
      <c r="I102" s="114">
        <f t="shared" si="43"/>
        <v>0</v>
      </c>
      <c r="J102" s="123">
        <f t="shared" si="31"/>
        <v>0</v>
      </c>
    </row>
    <row r="103" spans="1:10" s="115" customFormat="1" ht="21.95" customHeight="1" outlineLevel="2">
      <c r="A103" s="120" t="s">
        <v>908</v>
      </c>
      <c r="B103" s="130"/>
      <c r="C103" s="112" t="s">
        <v>913</v>
      </c>
      <c r="D103" s="122" t="s">
        <v>914</v>
      </c>
      <c r="E103" s="114">
        <v>0</v>
      </c>
      <c r="F103" s="114">
        <v>0</v>
      </c>
      <c r="G103" s="114">
        <v>0</v>
      </c>
      <c r="H103" s="114">
        <f t="shared" si="43"/>
        <v>0</v>
      </c>
      <c r="I103" s="114">
        <f t="shared" si="43"/>
        <v>0</v>
      </c>
      <c r="J103" s="123">
        <f t="shared" si="31"/>
        <v>0</v>
      </c>
    </row>
    <row r="104" spans="1:10" s="129" customFormat="1" ht="21.95" customHeight="1" outlineLevel="1">
      <c r="A104" s="131" t="s">
        <v>915</v>
      </c>
      <c r="B104" s="132">
        <v>237</v>
      </c>
      <c r="C104" s="126"/>
      <c r="D104" s="127" t="s">
        <v>916</v>
      </c>
      <c r="E104" s="128">
        <f>SUBTOTAL(9,E101:E103)</f>
        <v>0</v>
      </c>
      <c r="F104" s="128">
        <f t="shared" ref="F104:H104" si="44">SUBTOTAL(9,F101:F103)</f>
        <v>0</v>
      </c>
      <c r="G104" s="128">
        <f t="shared" si="44"/>
        <v>0</v>
      </c>
      <c r="H104" s="128">
        <f t="shared" si="44"/>
        <v>0</v>
      </c>
      <c r="I104" s="128">
        <f>SUBTOTAL(9,I101:I103)</f>
        <v>0</v>
      </c>
      <c r="J104" s="123">
        <f t="shared" si="31"/>
        <v>0</v>
      </c>
    </row>
    <row r="105" spans="1:10" s="115" customFormat="1" ht="21.95" customHeight="1" outlineLevel="2">
      <c r="A105" s="120" t="s">
        <v>917</v>
      </c>
      <c r="B105" s="130"/>
      <c r="C105" s="112" t="s">
        <v>918</v>
      </c>
      <c r="D105" s="122" t="s">
        <v>919</v>
      </c>
      <c r="E105" s="114">
        <v>0</v>
      </c>
      <c r="F105" s="114">
        <v>0</v>
      </c>
      <c r="G105" s="114">
        <v>0</v>
      </c>
      <c r="H105" s="114">
        <f t="shared" ref="H105:I106" si="45">E105-F105</f>
        <v>0</v>
      </c>
      <c r="I105" s="114">
        <f t="shared" si="45"/>
        <v>0</v>
      </c>
      <c r="J105" s="123">
        <f t="shared" si="31"/>
        <v>0</v>
      </c>
    </row>
    <row r="106" spans="1:10" s="115" customFormat="1" ht="21.95" customHeight="1" outlineLevel="2">
      <c r="A106" s="120" t="s">
        <v>917</v>
      </c>
      <c r="B106" s="130"/>
      <c r="C106" s="112" t="s">
        <v>920</v>
      </c>
      <c r="D106" s="122" t="s">
        <v>921</v>
      </c>
      <c r="E106" s="114">
        <v>0</v>
      </c>
      <c r="F106" s="114">
        <v>0</v>
      </c>
      <c r="G106" s="114">
        <v>0</v>
      </c>
      <c r="H106" s="114">
        <f t="shared" si="45"/>
        <v>0</v>
      </c>
      <c r="I106" s="114">
        <f t="shared" si="45"/>
        <v>0</v>
      </c>
      <c r="J106" s="123">
        <f t="shared" si="31"/>
        <v>0</v>
      </c>
    </row>
    <row r="107" spans="1:10" s="129" customFormat="1" ht="21.95" customHeight="1" outlineLevel="1">
      <c r="A107" s="131" t="s">
        <v>922</v>
      </c>
      <c r="B107" s="132">
        <v>238</v>
      </c>
      <c r="C107" s="126"/>
      <c r="D107" s="127" t="s">
        <v>923</v>
      </c>
      <c r="E107" s="128">
        <f>SUBTOTAL(9,E105:E106)</f>
        <v>0</v>
      </c>
      <c r="F107" s="128">
        <f t="shared" ref="F107:H107" si="46">SUBTOTAL(9,F105:F106)</f>
        <v>0</v>
      </c>
      <c r="G107" s="128">
        <f t="shared" si="46"/>
        <v>0</v>
      </c>
      <c r="H107" s="128">
        <f t="shared" si="46"/>
        <v>0</v>
      </c>
      <c r="I107" s="128">
        <f>SUBTOTAL(9,I105:I106)</f>
        <v>0</v>
      </c>
      <c r="J107" s="123">
        <f t="shared" si="31"/>
        <v>0</v>
      </c>
    </row>
    <row r="108" spans="1:10" s="115" customFormat="1" ht="21.95" customHeight="1" outlineLevel="2">
      <c r="A108" s="120" t="s">
        <v>924</v>
      </c>
      <c r="B108" s="130"/>
      <c r="C108" s="112" t="s">
        <v>925</v>
      </c>
      <c r="D108" s="122" t="s">
        <v>926</v>
      </c>
      <c r="E108" s="114">
        <v>0</v>
      </c>
      <c r="F108" s="114">
        <v>0</v>
      </c>
      <c r="G108" s="114">
        <v>0</v>
      </c>
      <c r="H108" s="114">
        <f t="shared" ref="H108:I111" si="47">E108-F108</f>
        <v>0</v>
      </c>
      <c r="I108" s="114">
        <f t="shared" si="47"/>
        <v>0</v>
      </c>
      <c r="J108" s="123">
        <f t="shared" si="31"/>
        <v>0</v>
      </c>
    </row>
    <row r="109" spans="1:10" s="115" customFormat="1" ht="21.95" customHeight="1" outlineLevel="2">
      <c r="A109" s="120" t="s">
        <v>924</v>
      </c>
      <c r="B109" s="130"/>
      <c r="C109" s="112" t="s">
        <v>927</v>
      </c>
      <c r="D109" s="122" t="s">
        <v>928</v>
      </c>
      <c r="E109" s="114">
        <v>0</v>
      </c>
      <c r="F109" s="114">
        <v>0</v>
      </c>
      <c r="G109" s="114">
        <v>0</v>
      </c>
      <c r="H109" s="114">
        <f t="shared" si="47"/>
        <v>0</v>
      </c>
      <c r="I109" s="114">
        <f t="shared" si="47"/>
        <v>0</v>
      </c>
      <c r="J109" s="123">
        <f t="shared" si="31"/>
        <v>0</v>
      </c>
    </row>
    <row r="110" spans="1:10" s="115" customFormat="1" ht="21.95" customHeight="1" outlineLevel="2">
      <c r="A110" s="120" t="s">
        <v>924</v>
      </c>
      <c r="B110" s="130"/>
      <c r="C110" s="112" t="s">
        <v>929</v>
      </c>
      <c r="D110" s="122" t="s">
        <v>680</v>
      </c>
      <c r="E110" s="114">
        <v>0</v>
      </c>
      <c r="F110" s="114">
        <v>0</v>
      </c>
      <c r="G110" s="114">
        <v>0</v>
      </c>
      <c r="H110" s="114">
        <f t="shared" si="47"/>
        <v>0</v>
      </c>
      <c r="I110" s="114">
        <f t="shared" si="47"/>
        <v>0</v>
      </c>
      <c r="J110" s="123">
        <f t="shared" si="31"/>
        <v>0</v>
      </c>
    </row>
    <row r="111" spans="1:10" s="115" customFormat="1" ht="21.95" customHeight="1" outlineLevel="2">
      <c r="A111" s="120" t="s">
        <v>924</v>
      </c>
      <c r="B111" s="130"/>
      <c r="C111" s="112" t="s">
        <v>930</v>
      </c>
      <c r="D111" s="122" t="s">
        <v>682</v>
      </c>
      <c r="E111" s="114">
        <v>0</v>
      </c>
      <c r="F111" s="114">
        <v>0</v>
      </c>
      <c r="G111" s="114">
        <v>0</v>
      </c>
      <c r="H111" s="114">
        <f t="shared" si="47"/>
        <v>0</v>
      </c>
      <c r="I111" s="114">
        <f t="shared" si="47"/>
        <v>0</v>
      </c>
      <c r="J111" s="123">
        <f t="shared" si="31"/>
        <v>0</v>
      </c>
    </row>
    <row r="112" spans="1:10" s="129" customFormat="1" ht="21.95" customHeight="1" outlineLevel="1">
      <c r="A112" s="131" t="s">
        <v>931</v>
      </c>
      <c r="B112" s="132">
        <v>239</v>
      </c>
      <c r="C112" s="126"/>
      <c r="D112" s="127" t="s">
        <v>932</v>
      </c>
      <c r="E112" s="128">
        <f>SUBTOTAL(9,E108:E111)</f>
        <v>0</v>
      </c>
      <c r="F112" s="128">
        <f t="shared" ref="F112:H112" si="48">SUBTOTAL(9,F108:F111)</f>
        <v>0</v>
      </c>
      <c r="G112" s="128">
        <f t="shared" si="48"/>
        <v>0</v>
      </c>
      <c r="H112" s="128">
        <f t="shared" si="48"/>
        <v>0</v>
      </c>
      <c r="I112" s="128">
        <f>SUBTOTAL(9,I108:I111)</f>
        <v>0</v>
      </c>
      <c r="J112" s="123">
        <f t="shared" si="31"/>
        <v>0</v>
      </c>
    </row>
    <row r="113" spans="1:10" s="135" customFormat="1" ht="21.95" customHeight="1" outlineLevel="1">
      <c r="A113" s="120"/>
      <c r="B113" s="130"/>
      <c r="C113" s="133"/>
      <c r="D113" s="134" t="s">
        <v>933</v>
      </c>
      <c r="E113" s="114">
        <v>0</v>
      </c>
      <c r="F113" s="114">
        <v>0</v>
      </c>
      <c r="G113" s="114">
        <v>0</v>
      </c>
      <c r="H113" s="114">
        <f t="shared" ref="H113:I117" si="49">E113-F113</f>
        <v>0</v>
      </c>
      <c r="I113" s="114">
        <f t="shared" si="49"/>
        <v>0</v>
      </c>
      <c r="J113" s="123">
        <f t="shared" si="31"/>
        <v>0</v>
      </c>
    </row>
    <row r="114" spans="1:10" s="115" customFormat="1" ht="21.95" customHeight="1" outlineLevel="2">
      <c r="A114" s="120" t="s">
        <v>934</v>
      </c>
      <c r="B114" s="130"/>
      <c r="C114" s="112" t="s">
        <v>935</v>
      </c>
      <c r="D114" s="122" t="s">
        <v>936</v>
      </c>
      <c r="E114" s="114">
        <v>0</v>
      </c>
      <c r="F114" s="114">
        <v>0</v>
      </c>
      <c r="G114" s="114">
        <v>0</v>
      </c>
      <c r="H114" s="114">
        <f t="shared" si="49"/>
        <v>0</v>
      </c>
      <c r="I114" s="114">
        <f t="shared" si="49"/>
        <v>0</v>
      </c>
      <c r="J114" s="123">
        <f t="shared" si="31"/>
        <v>0</v>
      </c>
    </row>
    <row r="115" spans="1:10" s="115" customFormat="1" ht="21.95" customHeight="1" outlineLevel="2">
      <c r="A115" s="120" t="s">
        <v>934</v>
      </c>
      <c r="B115" s="130"/>
      <c r="C115" s="112" t="s">
        <v>937</v>
      </c>
      <c r="D115" s="122" t="s">
        <v>938</v>
      </c>
      <c r="E115" s="114">
        <v>0</v>
      </c>
      <c r="F115" s="114">
        <v>0</v>
      </c>
      <c r="G115" s="114">
        <v>0</v>
      </c>
      <c r="H115" s="114">
        <f t="shared" si="49"/>
        <v>0</v>
      </c>
      <c r="I115" s="114">
        <f t="shared" si="49"/>
        <v>0</v>
      </c>
      <c r="J115" s="123">
        <f t="shared" si="31"/>
        <v>0</v>
      </c>
    </row>
    <row r="116" spans="1:10" s="115" customFormat="1" ht="21.95" customHeight="1" outlineLevel="2">
      <c r="A116" s="120" t="s">
        <v>934</v>
      </c>
      <c r="B116" s="130"/>
      <c r="C116" s="112" t="s">
        <v>939</v>
      </c>
      <c r="D116" s="122" t="s">
        <v>940</v>
      </c>
      <c r="E116" s="114">
        <v>0</v>
      </c>
      <c r="F116" s="114">
        <v>0</v>
      </c>
      <c r="G116" s="114">
        <v>0</v>
      </c>
      <c r="H116" s="114">
        <f t="shared" si="49"/>
        <v>0</v>
      </c>
      <c r="I116" s="114">
        <f t="shared" si="49"/>
        <v>0</v>
      </c>
      <c r="J116" s="123">
        <f t="shared" si="31"/>
        <v>0</v>
      </c>
    </row>
    <row r="117" spans="1:10" s="115" customFormat="1" ht="21.95" customHeight="1" outlineLevel="2">
      <c r="A117" s="120" t="s">
        <v>934</v>
      </c>
      <c r="B117" s="130"/>
      <c r="C117" s="112" t="s">
        <v>941</v>
      </c>
      <c r="D117" s="122" t="s">
        <v>942</v>
      </c>
      <c r="E117" s="114">
        <v>0</v>
      </c>
      <c r="F117" s="114">
        <v>0</v>
      </c>
      <c r="G117" s="114">
        <v>0</v>
      </c>
      <c r="H117" s="114">
        <f t="shared" si="49"/>
        <v>0</v>
      </c>
      <c r="I117" s="114">
        <f t="shared" si="49"/>
        <v>0</v>
      </c>
      <c r="J117" s="123">
        <f t="shared" si="31"/>
        <v>0</v>
      </c>
    </row>
    <row r="118" spans="1:10" s="129" customFormat="1" ht="21.95" customHeight="1" outlineLevel="1">
      <c r="A118" s="131" t="s">
        <v>943</v>
      </c>
      <c r="B118" s="132">
        <v>311</v>
      </c>
      <c r="C118" s="126"/>
      <c r="D118" s="127" t="s">
        <v>944</v>
      </c>
      <c r="E118" s="128">
        <f>SUBTOTAL(9,E114:E117)</f>
        <v>0</v>
      </c>
      <c r="F118" s="128">
        <f t="shared" ref="F118:H118" si="50">SUBTOTAL(9,F114:F117)</f>
        <v>0</v>
      </c>
      <c r="G118" s="128">
        <f t="shared" si="50"/>
        <v>0</v>
      </c>
      <c r="H118" s="128">
        <f t="shared" si="50"/>
        <v>0</v>
      </c>
      <c r="I118" s="128">
        <f>SUBTOTAL(9,I114:I117)</f>
        <v>0</v>
      </c>
      <c r="J118" s="123">
        <f t="shared" si="31"/>
        <v>0</v>
      </c>
    </row>
    <row r="119" spans="1:10" s="115" customFormat="1" ht="21.95" customHeight="1" outlineLevel="2">
      <c r="A119" s="120" t="s">
        <v>945</v>
      </c>
      <c r="B119" s="130"/>
      <c r="C119" s="112"/>
      <c r="D119" s="122" t="s">
        <v>946</v>
      </c>
      <c r="E119" s="114">
        <v>0</v>
      </c>
      <c r="F119" s="114">
        <v>0</v>
      </c>
      <c r="G119" s="114">
        <v>0</v>
      </c>
      <c r="H119" s="114">
        <f t="shared" ref="H119:I129" si="51">E119-F119</f>
        <v>0</v>
      </c>
      <c r="I119" s="114">
        <f t="shared" si="51"/>
        <v>0</v>
      </c>
      <c r="J119" s="123">
        <f t="shared" si="31"/>
        <v>0</v>
      </c>
    </row>
    <row r="120" spans="1:10" s="115" customFormat="1" ht="21.95" customHeight="1" outlineLevel="2">
      <c r="A120" s="120" t="s">
        <v>945</v>
      </c>
      <c r="B120" s="130"/>
      <c r="C120" s="112" t="s">
        <v>947</v>
      </c>
      <c r="D120" s="122" t="s">
        <v>948</v>
      </c>
      <c r="E120" s="114">
        <v>0</v>
      </c>
      <c r="F120" s="114">
        <v>0</v>
      </c>
      <c r="G120" s="114">
        <v>0</v>
      </c>
      <c r="H120" s="114">
        <f t="shared" si="51"/>
        <v>0</v>
      </c>
      <c r="I120" s="114">
        <f t="shared" si="51"/>
        <v>0</v>
      </c>
      <c r="J120" s="123">
        <f t="shared" si="31"/>
        <v>0</v>
      </c>
    </row>
    <row r="121" spans="1:10" s="115" customFormat="1" ht="21.95" customHeight="1" outlineLevel="2">
      <c r="A121" s="120" t="s">
        <v>945</v>
      </c>
      <c r="B121" s="130"/>
      <c r="C121" s="112" t="s">
        <v>949</v>
      </c>
      <c r="D121" s="122" t="s">
        <v>950</v>
      </c>
      <c r="E121" s="114">
        <v>0</v>
      </c>
      <c r="F121" s="114">
        <v>0</v>
      </c>
      <c r="G121" s="114">
        <v>0</v>
      </c>
      <c r="H121" s="114">
        <f t="shared" si="51"/>
        <v>0</v>
      </c>
      <c r="I121" s="114">
        <f t="shared" si="51"/>
        <v>0</v>
      </c>
      <c r="J121" s="123">
        <f t="shared" si="31"/>
        <v>0</v>
      </c>
    </row>
    <row r="122" spans="1:10" s="115" customFormat="1" ht="21.95" customHeight="1" outlineLevel="2">
      <c r="A122" s="120" t="s">
        <v>945</v>
      </c>
      <c r="B122" s="130"/>
      <c r="C122" s="112" t="s">
        <v>951</v>
      </c>
      <c r="D122" s="122" t="s">
        <v>952</v>
      </c>
      <c r="E122" s="114">
        <v>0</v>
      </c>
      <c r="F122" s="114">
        <v>0</v>
      </c>
      <c r="G122" s="114">
        <v>0</v>
      </c>
      <c r="H122" s="114">
        <f t="shared" si="51"/>
        <v>0</v>
      </c>
      <c r="I122" s="114">
        <f t="shared" si="51"/>
        <v>0</v>
      </c>
      <c r="J122" s="123">
        <f t="shared" si="31"/>
        <v>0</v>
      </c>
    </row>
    <row r="123" spans="1:10" s="115" customFormat="1" ht="21.95" customHeight="1" outlineLevel="2">
      <c r="A123" s="120" t="s">
        <v>945</v>
      </c>
      <c r="B123" s="130"/>
      <c r="C123" s="112" t="s">
        <v>953</v>
      </c>
      <c r="D123" s="122" t="s">
        <v>954</v>
      </c>
      <c r="E123" s="114">
        <v>0</v>
      </c>
      <c r="F123" s="114">
        <v>0</v>
      </c>
      <c r="G123" s="114">
        <v>0</v>
      </c>
      <c r="H123" s="114">
        <f t="shared" si="51"/>
        <v>0</v>
      </c>
      <c r="I123" s="114">
        <f t="shared" si="51"/>
        <v>0</v>
      </c>
      <c r="J123" s="123">
        <f t="shared" si="31"/>
        <v>0</v>
      </c>
    </row>
    <row r="124" spans="1:10" s="115" customFormat="1" ht="21.95" customHeight="1" outlineLevel="2">
      <c r="A124" s="120" t="s">
        <v>945</v>
      </c>
      <c r="B124" s="130"/>
      <c r="C124" s="112" t="s">
        <v>955</v>
      </c>
      <c r="D124" s="122" t="s">
        <v>956</v>
      </c>
      <c r="E124" s="114">
        <v>0</v>
      </c>
      <c r="F124" s="114">
        <v>0</v>
      </c>
      <c r="G124" s="114">
        <v>0</v>
      </c>
      <c r="H124" s="114">
        <f t="shared" si="51"/>
        <v>0</v>
      </c>
      <c r="I124" s="114">
        <f t="shared" si="51"/>
        <v>0</v>
      </c>
      <c r="J124" s="123">
        <f t="shared" si="31"/>
        <v>0</v>
      </c>
    </row>
    <row r="125" spans="1:10" s="115" customFormat="1" ht="21.95" customHeight="1" outlineLevel="2">
      <c r="A125" s="120" t="s">
        <v>945</v>
      </c>
      <c r="B125" s="130"/>
      <c r="C125" s="112" t="s">
        <v>957</v>
      </c>
      <c r="D125" s="122" t="s">
        <v>958</v>
      </c>
      <c r="E125" s="114">
        <v>0</v>
      </c>
      <c r="F125" s="114">
        <v>0</v>
      </c>
      <c r="G125" s="114">
        <v>0</v>
      </c>
      <c r="H125" s="114">
        <f t="shared" si="51"/>
        <v>0</v>
      </c>
      <c r="I125" s="114">
        <f t="shared" si="51"/>
        <v>0</v>
      </c>
      <c r="J125" s="123">
        <f t="shared" si="31"/>
        <v>0</v>
      </c>
    </row>
    <row r="126" spans="1:10" s="115" customFormat="1" ht="21.95" customHeight="1" outlineLevel="2">
      <c r="A126" s="120" t="s">
        <v>945</v>
      </c>
      <c r="B126" s="130"/>
      <c r="C126" s="112" t="s">
        <v>959</v>
      </c>
      <c r="D126" s="122" t="s">
        <v>960</v>
      </c>
      <c r="E126" s="114">
        <v>0</v>
      </c>
      <c r="F126" s="114">
        <v>0</v>
      </c>
      <c r="G126" s="114">
        <v>0</v>
      </c>
      <c r="H126" s="114">
        <f t="shared" si="51"/>
        <v>0</v>
      </c>
      <c r="I126" s="114">
        <f t="shared" si="51"/>
        <v>0</v>
      </c>
      <c r="J126" s="123">
        <f t="shared" si="31"/>
        <v>0</v>
      </c>
    </row>
    <row r="127" spans="1:10" s="115" customFormat="1" ht="21.95" customHeight="1" outlineLevel="2">
      <c r="A127" s="120" t="s">
        <v>945</v>
      </c>
      <c r="B127" s="130"/>
      <c r="C127" s="112"/>
      <c r="D127" s="122" t="s">
        <v>961</v>
      </c>
      <c r="E127" s="114">
        <v>0</v>
      </c>
      <c r="F127" s="114">
        <v>0</v>
      </c>
      <c r="G127" s="114">
        <v>0</v>
      </c>
      <c r="H127" s="114">
        <f t="shared" si="51"/>
        <v>0</v>
      </c>
      <c r="I127" s="114">
        <f t="shared" si="51"/>
        <v>0</v>
      </c>
      <c r="J127" s="123">
        <f t="shared" si="31"/>
        <v>0</v>
      </c>
    </row>
    <row r="128" spans="1:10" s="129" customFormat="1" ht="21.95" customHeight="1" outlineLevel="1">
      <c r="A128" s="131" t="s">
        <v>962</v>
      </c>
      <c r="B128" s="132">
        <v>321</v>
      </c>
      <c r="C128" s="126"/>
      <c r="D128" s="127" t="s">
        <v>963</v>
      </c>
      <c r="E128" s="128">
        <f>SUBTOTAL(9,E119:E127)</f>
        <v>0</v>
      </c>
      <c r="F128" s="128">
        <f t="shared" ref="F128:G128" si="52">SUBTOTAL(9,F119:F127)</f>
        <v>0</v>
      </c>
      <c r="G128" s="128">
        <f t="shared" si="52"/>
        <v>0</v>
      </c>
      <c r="H128" s="128">
        <f>SUBTOTAL(9,H119:H127)</f>
        <v>0</v>
      </c>
      <c r="I128" s="128">
        <f>SUBTOTAL(9,I119:I127)</f>
        <v>0</v>
      </c>
      <c r="J128" s="123">
        <f t="shared" si="31"/>
        <v>0</v>
      </c>
    </row>
    <row r="129" spans="1:10" s="115" customFormat="1" ht="21.95" customHeight="1" outlineLevel="2">
      <c r="A129" s="120" t="s">
        <v>964</v>
      </c>
      <c r="B129" s="130"/>
      <c r="C129" s="112" t="s">
        <v>965</v>
      </c>
      <c r="D129" s="122" t="s">
        <v>966</v>
      </c>
      <c r="E129" s="114">
        <v>0</v>
      </c>
      <c r="F129" s="114">
        <v>0</v>
      </c>
      <c r="G129" s="114">
        <v>0</v>
      </c>
      <c r="H129" s="114">
        <f t="shared" si="51"/>
        <v>0</v>
      </c>
      <c r="I129" s="114">
        <f t="shared" si="51"/>
        <v>0</v>
      </c>
      <c r="J129" s="123">
        <f t="shared" si="31"/>
        <v>0</v>
      </c>
    </row>
    <row r="130" spans="1:10" s="129" customFormat="1" ht="21.95" customHeight="1" outlineLevel="1">
      <c r="A130" s="131" t="s">
        <v>967</v>
      </c>
      <c r="B130" s="132">
        <v>331</v>
      </c>
      <c r="C130" s="126"/>
      <c r="D130" s="127" t="s">
        <v>968</v>
      </c>
      <c r="E130" s="128">
        <f>SUBTOTAL(9,E129:E129)</f>
        <v>0</v>
      </c>
      <c r="F130" s="128">
        <f t="shared" ref="F130:H130" si="53">SUBTOTAL(9,F129:F129)</f>
        <v>0</v>
      </c>
      <c r="G130" s="128">
        <f t="shared" si="53"/>
        <v>0</v>
      </c>
      <c r="H130" s="128">
        <f t="shared" si="53"/>
        <v>0</v>
      </c>
      <c r="I130" s="128">
        <f>SUBTOTAL(9,I129:I129)</f>
        <v>0</v>
      </c>
      <c r="J130" s="123">
        <f t="shared" si="31"/>
        <v>0</v>
      </c>
    </row>
    <row r="131" spans="1:10" s="115" customFormat="1" ht="21.95" customHeight="1" outlineLevel="2">
      <c r="A131" s="120" t="s">
        <v>969</v>
      </c>
      <c r="B131" s="130"/>
      <c r="C131" s="112" t="s">
        <v>970</v>
      </c>
      <c r="D131" s="122" t="s">
        <v>971</v>
      </c>
      <c r="E131" s="114">
        <v>0</v>
      </c>
      <c r="F131" s="114">
        <v>0</v>
      </c>
      <c r="G131" s="114">
        <v>0</v>
      </c>
      <c r="H131" s="114">
        <f t="shared" ref="H131:I131" si="54">E131-F131</f>
        <v>0</v>
      </c>
      <c r="I131" s="114">
        <f t="shared" si="54"/>
        <v>0</v>
      </c>
      <c r="J131" s="123">
        <f t="shared" si="31"/>
        <v>0</v>
      </c>
    </row>
    <row r="132" spans="1:10" s="129" customFormat="1" ht="21.95" customHeight="1" outlineLevel="1">
      <c r="A132" s="131" t="s">
        <v>972</v>
      </c>
      <c r="B132" s="132">
        <v>332</v>
      </c>
      <c r="C132" s="126"/>
      <c r="D132" s="127" t="s">
        <v>973</v>
      </c>
      <c r="E132" s="128">
        <f>SUBTOTAL(9,E131:E131)</f>
        <v>0</v>
      </c>
      <c r="F132" s="128">
        <f t="shared" ref="F132:H132" si="55">SUBTOTAL(9,F131:F131)</f>
        <v>0</v>
      </c>
      <c r="G132" s="128">
        <f t="shared" si="55"/>
        <v>0</v>
      </c>
      <c r="H132" s="128">
        <f t="shared" si="55"/>
        <v>0</v>
      </c>
      <c r="I132" s="128">
        <f>SUBTOTAL(9,I131:I131)</f>
        <v>0</v>
      </c>
      <c r="J132" s="123">
        <f t="shared" si="31"/>
        <v>0</v>
      </c>
    </row>
    <row r="133" spans="1:10" s="115" customFormat="1" ht="21.95" customHeight="1" outlineLevel="2">
      <c r="A133" s="120" t="s">
        <v>974</v>
      </c>
      <c r="B133" s="130"/>
      <c r="C133" s="112" t="s">
        <v>975</v>
      </c>
      <c r="D133" s="122" t="s">
        <v>976</v>
      </c>
      <c r="E133" s="114">
        <v>0</v>
      </c>
      <c r="F133" s="114">
        <v>0</v>
      </c>
      <c r="G133" s="114">
        <v>0</v>
      </c>
      <c r="H133" s="114">
        <f t="shared" ref="H133:I135" si="56">E133-F133</f>
        <v>0</v>
      </c>
      <c r="I133" s="114">
        <f t="shared" si="56"/>
        <v>0</v>
      </c>
      <c r="J133" s="123">
        <f t="shared" si="31"/>
        <v>0</v>
      </c>
    </row>
    <row r="134" spans="1:10" s="115" customFormat="1" ht="21.95" customHeight="1" outlineLevel="2">
      <c r="A134" s="120" t="s">
        <v>974</v>
      </c>
      <c r="B134" s="130"/>
      <c r="C134" s="112" t="s">
        <v>977</v>
      </c>
      <c r="D134" s="122" t="s">
        <v>978</v>
      </c>
      <c r="E134" s="114">
        <v>0</v>
      </c>
      <c r="F134" s="114">
        <v>0</v>
      </c>
      <c r="G134" s="114">
        <v>0</v>
      </c>
      <c r="H134" s="114">
        <f t="shared" si="56"/>
        <v>0</v>
      </c>
      <c r="I134" s="114">
        <f t="shared" si="56"/>
        <v>0</v>
      </c>
      <c r="J134" s="123">
        <f t="shared" si="31"/>
        <v>0</v>
      </c>
    </row>
    <row r="135" spans="1:10" s="115" customFormat="1" ht="21.95" customHeight="1" outlineLevel="2">
      <c r="A135" s="120" t="s">
        <v>974</v>
      </c>
      <c r="B135" s="130"/>
      <c r="C135" s="112" t="s">
        <v>979</v>
      </c>
      <c r="D135" s="122" t="s">
        <v>980</v>
      </c>
      <c r="E135" s="114">
        <v>0</v>
      </c>
      <c r="F135" s="114">
        <v>0</v>
      </c>
      <c r="G135" s="114">
        <v>0</v>
      </c>
      <c r="H135" s="114">
        <f t="shared" si="56"/>
        <v>0</v>
      </c>
      <c r="I135" s="114">
        <f t="shared" si="56"/>
        <v>0</v>
      </c>
      <c r="J135" s="123">
        <f t="shared" si="31"/>
        <v>0</v>
      </c>
    </row>
    <row r="136" spans="1:10" s="129" customFormat="1" ht="21.95" customHeight="1" outlineLevel="1">
      <c r="A136" s="131" t="s">
        <v>981</v>
      </c>
      <c r="B136" s="132">
        <v>335</v>
      </c>
      <c r="C136" s="126"/>
      <c r="D136" s="127" t="s">
        <v>982</v>
      </c>
      <c r="E136" s="128">
        <f>SUBTOTAL(9,E133:E135)</f>
        <v>0</v>
      </c>
      <c r="F136" s="128">
        <f t="shared" ref="F136:H136" si="57">SUBTOTAL(9,F133:F135)</f>
        <v>0</v>
      </c>
      <c r="G136" s="128">
        <f t="shared" si="57"/>
        <v>0</v>
      </c>
      <c r="H136" s="128">
        <f t="shared" si="57"/>
        <v>0</v>
      </c>
      <c r="I136" s="128">
        <f>SUBTOTAL(9,I133:I135)</f>
        <v>0</v>
      </c>
      <c r="J136" s="123">
        <f t="shared" si="31"/>
        <v>0</v>
      </c>
    </row>
    <row r="137" spans="1:10" s="115" customFormat="1" ht="21.95" customHeight="1" outlineLevel="2">
      <c r="A137" s="120" t="s">
        <v>983</v>
      </c>
      <c r="B137" s="130"/>
      <c r="C137" s="112" t="s">
        <v>984</v>
      </c>
      <c r="D137" s="122" t="s">
        <v>161</v>
      </c>
      <c r="E137" s="114">
        <v>0</v>
      </c>
      <c r="F137" s="114">
        <v>0</v>
      </c>
      <c r="G137" s="114">
        <v>0</v>
      </c>
      <c r="H137" s="114">
        <f t="shared" ref="H137:I140" si="58">E137-F137</f>
        <v>0</v>
      </c>
      <c r="I137" s="114">
        <f t="shared" si="58"/>
        <v>0</v>
      </c>
      <c r="J137" s="123">
        <f t="shared" si="31"/>
        <v>0</v>
      </c>
    </row>
    <row r="138" spans="1:10" s="115" customFormat="1" ht="21.95" customHeight="1" outlineLevel="2">
      <c r="A138" s="120" t="s">
        <v>983</v>
      </c>
      <c r="B138" s="130"/>
      <c r="C138" s="112" t="s">
        <v>985</v>
      </c>
      <c r="D138" s="122" t="s">
        <v>986</v>
      </c>
      <c r="E138" s="114">
        <v>0</v>
      </c>
      <c r="F138" s="114">
        <v>0</v>
      </c>
      <c r="G138" s="114">
        <v>0</v>
      </c>
      <c r="H138" s="114">
        <f t="shared" si="58"/>
        <v>0</v>
      </c>
      <c r="I138" s="114">
        <f t="shared" si="58"/>
        <v>0</v>
      </c>
      <c r="J138" s="123">
        <f t="shared" si="31"/>
        <v>0</v>
      </c>
    </row>
    <row r="139" spans="1:10" s="115" customFormat="1" ht="21.95" customHeight="1" outlineLevel="2">
      <c r="A139" s="120" t="s">
        <v>983</v>
      </c>
      <c r="B139" s="130"/>
      <c r="C139" s="112" t="s">
        <v>987</v>
      </c>
      <c r="D139" s="122" t="s">
        <v>78</v>
      </c>
      <c r="E139" s="114">
        <v>0</v>
      </c>
      <c r="F139" s="114">
        <v>0</v>
      </c>
      <c r="G139" s="114">
        <v>0</v>
      </c>
      <c r="H139" s="114">
        <f t="shared" si="58"/>
        <v>0</v>
      </c>
      <c r="I139" s="114">
        <f t="shared" si="58"/>
        <v>0</v>
      </c>
      <c r="J139" s="123">
        <f t="shared" si="31"/>
        <v>0</v>
      </c>
    </row>
    <row r="140" spans="1:10" s="115" customFormat="1" ht="21.95" customHeight="1" outlineLevel="2">
      <c r="A140" s="120" t="s">
        <v>983</v>
      </c>
      <c r="B140" s="130"/>
      <c r="C140" s="112" t="s">
        <v>988</v>
      </c>
      <c r="D140" s="122" t="s">
        <v>160</v>
      </c>
      <c r="E140" s="114"/>
      <c r="F140" s="114"/>
      <c r="G140" s="114"/>
      <c r="H140" s="114">
        <f t="shared" si="58"/>
        <v>0</v>
      </c>
      <c r="I140" s="114">
        <f t="shared" si="58"/>
        <v>0</v>
      </c>
      <c r="J140" s="123">
        <f t="shared" si="31"/>
        <v>0</v>
      </c>
    </row>
    <row r="141" spans="1:10" s="129" customFormat="1" ht="21.95" customHeight="1" outlineLevel="1">
      <c r="A141" s="131" t="s">
        <v>989</v>
      </c>
      <c r="B141" s="132">
        <v>341</v>
      </c>
      <c r="C141" s="126"/>
      <c r="D141" s="127" t="s">
        <v>990</v>
      </c>
      <c r="E141" s="128">
        <f>SUBTOTAL(9,E137:E140)</f>
        <v>0</v>
      </c>
      <c r="F141" s="128">
        <f t="shared" ref="F141:H141" si="59">SUBTOTAL(9,F137:F140)</f>
        <v>0</v>
      </c>
      <c r="G141" s="128">
        <f t="shared" si="59"/>
        <v>0</v>
      </c>
      <c r="H141" s="128">
        <f t="shared" si="59"/>
        <v>0</v>
      </c>
      <c r="I141" s="128">
        <f>SUBTOTAL(9,I137:I140)</f>
        <v>0</v>
      </c>
      <c r="J141" s="123">
        <f t="shared" si="31"/>
        <v>0</v>
      </c>
    </row>
    <row r="142" spans="1:10" s="129" customFormat="1" ht="21.95" customHeight="1">
      <c r="A142" s="137" t="s">
        <v>690</v>
      </c>
      <c r="B142" s="138"/>
      <c r="C142" s="126"/>
      <c r="D142" s="139" t="s">
        <v>991</v>
      </c>
      <c r="E142" s="128">
        <f>SUBTOTAL(9,E9:E141)</f>
        <v>3361</v>
      </c>
      <c r="F142" s="128">
        <f>SUBTOTAL(9,F9:F141)</f>
        <v>12</v>
      </c>
      <c r="G142" s="128">
        <f>SUBTOTAL(9,G9:G141)</f>
        <v>18</v>
      </c>
      <c r="H142" s="128">
        <f>SUBTOTAL(9,H9:H141)</f>
        <v>3349</v>
      </c>
      <c r="I142" s="128">
        <f>SUBTOTAL(9,I9:I141)</f>
        <v>-6</v>
      </c>
    </row>
  </sheetData>
  <autoFilter ref="A8:J141" xr:uid="{00000000-0009-0000-0000-000007000000}"/>
  <mergeCells count="12">
    <mergeCell ref="C1:I1"/>
    <mergeCell ref="C2:I2"/>
    <mergeCell ref="C3:I3"/>
    <mergeCell ref="C4:I4"/>
    <mergeCell ref="B5:B8"/>
    <mergeCell ref="C5:C8"/>
    <mergeCell ref="D5:D8"/>
    <mergeCell ref="E5:I5"/>
    <mergeCell ref="E6:E7"/>
    <mergeCell ref="F6:F7"/>
    <mergeCell ref="G6:G7"/>
    <mergeCell ref="H6:I6"/>
  </mergeCells>
  <phoneticPr fontId="9" type="noConversion"/>
  <printOptions horizontalCentered="1"/>
  <pageMargins left="0.31496062992125984" right="0.15748031496062992" top="0.35433070866141736" bottom="1.0236220472440944" header="0.31496062992125984" footer="0.31496062992125984"/>
  <pageSetup paperSize="9" scale="85" orientation="portrait" r:id="rId1"/>
  <headerFooter>
    <oddFooter>&amp;L&amp;G&amp;RW. P. NO &amp;U _    VI-3-&amp;P       _&amp;U
Year End  &amp;U_    105.12.31   _</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7"/>
  <sheetViews>
    <sheetView view="pageBreakPreview" zoomScale="86" zoomScaleNormal="75" zoomScaleSheetLayoutView="86" workbookViewId="0">
      <selection activeCell="E27" sqref="E27"/>
    </sheetView>
  </sheetViews>
  <sheetFormatPr defaultColWidth="9" defaultRowHeight="16.5"/>
  <cols>
    <col min="1" max="1" width="34.25" style="1" customWidth="1"/>
    <col min="2" max="3" width="13.625" style="1" customWidth="1"/>
    <col min="4" max="4" width="18" style="10" customWidth="1"/>
    <col min="5" max="5" width="36.625" style="1" customWidth="1"/>
    <col min="6" max="7" width="13.625" style="1" customWidth="1"/>
    <col min="8" max="8" width="16" style="1" customWidth="1"/>
    <col min="9" max="16384" width="9" style="1"/>
  </cols>
  <sheetData>
    <row r="1" spans="1:8" ht="16.5" customHeight="1">
      <c r="A1" s="45" t="s">
        <v>48</v>
      </c>
      <c r="B1" s="1" t="s">
        <v>13</v>
      </c>
      <c r="C1" s="1" t="s">
        <v>13</v>
      </c>
      <c r="D1" s="12" t="s">
        <v>5</v>
      </c>
      <c r="E1" s="20" t="s">
        <v>31</v>
      </c>
    </row>
    <row r="2" spans="1:8" ht="16.5" customHeight="1">
      <c r="A2" s="1" t="s">
        <v>49</v>
      </c>
      <c r="E2" s="2" t="s">
        <v>6</v>
      </c>
    </row>
    <row r="3" spans="1:8" ht="16.5" customHeight="1">
      <c r="A3" s="49" t="s">
        <v>50</v>
      </c>
      <c r="B3" s="3">
        <v>151815693</v>
      </c>
      <c r="C3" s="3">
        <v>82230452</v>
      </c>
      <c r="D3" s="39">
        <f>C3-B3</f>
        <v>-69585241</v>
      </c>
      <c r="E3" s="48" t="s">
        <v>36</v>
      </c>
      <c r="F3" s="3">
        <v>173539562</v>
      </c>
      <c r="G3" s="3">
        <v>96436082</v>
      </c>
      <c r="H3" s="39">
        <f>F3-G3</f>
        <v>77103480</v>
      </c>
    </row>
    <row r="4" spans="1:8" ht="16.5" customHeight="1">
      <c r="A4" s="49" t="s">
        <v>51</v>
      </c>
      <c r="B4" s="3">
        <v>169428468</v>
      </c>
      <c r="C4" s="3">
        <v>265863605</v>
      </c>
      <c r="D4" s="39">
        <f t="shared" ref="D4:D32" si="0">C4-B4</f>
        <v>96435137</v>
      </c>
      <c r="E4" s="48" t="s">
        <v>27</v>
      </c>
      <c r="F4" s="3">
        <v>56169952</v>
      </c>
      <c r="G4" s="3">
        <v>173201636</v>
      </c>
      <c r="H4" s="39">
        <f t="shared" ref="H4:H32" si="1">F4-G4</f>
        <v>-117031684</v>
      </c>
    </row>
    <row r="5" spans="1:8" ht="16.5" customHeight="1">
      <c r="A5" s="49" t="s">
        <v>52</v>
      </c>
      <c r="B5" s="3">
        <v>291114741</v>
      </c>
      <c r="C5" s="3">
        <v>364529240</v>
      </c>
      <c r="D5" s="39">
        <f t="shared" si="0"/>
        <v>73414499</v>
      </c>
      <c r="E5" s="48" t="s">
        <v>28</v>
      </c>
      <c r="F5" s="3">
        <v>24391813</v>
      </c>
      <c r="G5" s="3">
        <v>107020814</v>
      </c>
      <c r="H5" s="39">
        <f t="shared" si="1"/>
        <v>-82629001</v>
      </c>
    </row>
    <row r="6" spans="1:8" ht="16.5" customHeight="1">
      <c r="A6" s="49" t="s">
        <v>53</v>
      </c>
      <c r="B6" s="3">
        <v>430305453</v>
      </c>
      <c r="C6" s="3">
        <v>428681929</v>
      </c>
      <c r="D6" s="39">
        <f t="shared" si="0"/>
        <v>-1623524</v>
      </c>
      <c r="E6" s="48" t="s">
        <v>20</v>
      </c>
      <c r="F6" s="3">
        <v>18608615</v>
      </c>
      <c r="G6" s="3">
        <v>23943919</v>
      </c>
      <c r="H6" s="39">
        <f t="shared" si="1"/>
        <v>-5335304</v>
      </c>
    </row>
    <row r="7" spans="1:8" ht="16.5" customHeight="1">
      <c r="A7" s="49" t="s">
        <v>54</v>
      </c>
      <c r="B7" s="3">
        <v>3131465</v>
      </c>
      <c r="C7" s="3">
        <v>7013896</v>
      </c>
      <c r="D7" s="39">
        <f t="shared" si="0"/>
        <v>3882431</v>
      </c>
      <c r="E7" s="48" t="s">
        <v>40</v>
      </c>
      <c r="F7" s="3">
        <v>9697468</v>
      </c>
      <c r="G7" s="3">
        <v>15156447</v>
      </c>
      <c r="H7" s="39">
        <f t="shared" si="1"/>
        <v>-5458979</v>
      </c>
    </row>
    <row r="8" spans="1:8" ht="16.5" customHeight="1">
      <c r="A8" s="48" t="s">
        <v>43</v>
      </c>
      <c r="B8" s="3">
        <v>17767045</v>
      </c>
      <c r="C8" s="3">
        <v>7305927</v>
      </c>
      <c r="D8" s="39">
        <f t="shared" si="0"/>
        <v>-10461118</v>
      </c>
      <c r="E8" s="48" t="s">
        <v>30</v>
      </c>
      <c r="F8" s="3">
        <v>64660733</v>
      </c>
      <c r="G8" s="3">
        <v>33436447</v>
      </c>
      <c r="H8" s="39">
        <f t="shared" si="1"/>
        <v>31224286</v>
      </c>
    </row>
    <row r="9" spans="1:8" ht="16.5" customHeight="1">
      <c r="A9" s="35" t="s">
        <v>55</v>
      </c>
      <c r="B9" s="6">
        <f>SUM(B3:B8)</f>
        <v>1063562865</v>
      </c>
      <c r="C9" s="6">
        <f>SUM(C3:C8)</f>
        <v>1155625049</v>
      </c>
      <c r="D9" s="39">
        <f t="shared" si="0"/>
        <v>92062184</v>
      </c>
      <c r="E9" s="49" t="s">
        <v>44</v>
      </c>
      <c r="F9" s="3"/>
      <c r="G9" s="3"/>
      <c r="H9" s="39">
        <f t="shared" si="1"/>
        <v>0</v>
      </c>
    </row>
    <row r="10" spans="1:8" ht="16.5" customHeight="1">
      <c r="B10" s="3"/>
      <c r="C10" s="3"/>
      <c r="D10" s="39">
        <f t="shared" si="0"/>
        <v>0</v>
      </c>
      <c r="E10" s="48" t="s">
        <v>39</v>
      </c>
      <c r="F10" s="3">
        <v>1243844</v>
      </c>
      <c r="G10" s="3">
        <v>371510</v>
      </c>
      <c r="H10" s="39">
        <f t="shared" si="1"/>
        <v>872334</v>
      </c>
    </row>
    <row r="11" spans="1:8" ht="16.5" customHeight="1">
      <c r="A11" s="18" t="s">
        <v>42</v>
      </c>
      <c r="D11" s="39">
        <f t="shared" si="0"/>
        <v>0</v>
      </c>
      <c r="E11" s="48" t="s">
        <v>41</v>
      </c>
      <c r="F11" s="3">
        <v>258557</v>
      </c>
      <c r="G11" s="3">
        <v>1578922</v>
      </c>
      <c r="H11" s="39">
        <f t="shared" si="1"/>
        <v>-1320365</v>
      </c>
    </row>
    <row r="12" spans="1:8" ht="16.5" customHeight="1">
      <c r="A12" s="46" t="s">
        <v>56</v>
      </c>
      <c r="B12" s="36">
        <v>6752501</v>
      </c>
      <c r="C12" s="36">
        <v>6065643</v>
      </c>
      <c r="D12" s="39">
        <f t="shared" si="0"/>
        <v>-686858</v>
      </c>
      <c r="E12" s="48" t="s">
        <v>29</v>
      </c>
      <c r="F12" s="3">
        <v>1116703</v>
      </c>
      <c r="G12" s="3">
        <v>1328967</v>
      </c>
      <c r="H12" s="39">
        <f t="shared" si="1"/>
        <v>-212264</v>
      </c>
    </row>
    <row r="13" spans="1:8" ht="16.5" customHeight="1">
      <c r="A13" s="42"/>
      <c r="B13" s="37"/>
      <c r="C13" s="37"/>
      <c r="D13" s="39">
        <f t="shared" si="0"/>
        <v>0</v>
      </c>
      <c r="E13" s="16" t="s">
        <v>32</v>
      </c>
      <c r="F13" s="6">
        <f>SUM(F3:F12)</f>
        <v>349687247</v>
      </c>
      <c r="G13" s="6">
        <f>SUM(G3:G12)</f>
        <v>452474744</v>
      </c>
      <c r="H13" s="39">
        <f t="shared" si="1"/>
        <v>-102787497</v>
      </c>
    </row>
    <row r="14" spans="1:8" ht="16.5" customHeight="1">
      <c r="A14" s="9" t="s">
        <v>57</v>
      </c>
      <c r="D14" s="39">
        <f t="shared" si="0"/>
        <v>0</v>
      </c>
      <c r="F14" s="3"/>
      <c r="G14" s="3"/>
      <c r="H14" s="39">
        <f t="shared" si="1"/>
        <v>0</v>
      </c>
    </row>
    <row r="15" spans="1:8" ht="16.5" customHeight="1">
      <c r="A15" s="49" t="s">
        <v>58</v>
      </c>
      <c r="D15" s="39">
        <f t="shared" si="0"/>
        <v>0</v>
      </c>
      <c r="E15" s="2" t="s">
        <v>22</v>
      </c>
      <c r="F15" s="3"/>
      <c r="G15" s="3"/>
      <c r="H15" s="39">
        <f t="shared" si="1"/>
        <v>0</v>
      </c>
    </row>
    <row r="16" spans="1:8" ht="16.5" customHeight="1">
      <c r="A16" s="35" t="s">
        <v>59</v>
      </c>
      <c r="B16" s="13">
        <v>288310086</v>
      </c>
      <c r="C16" s="13">
        <v>288310086</v>
      </c>
      <c r="D16" s="39">
        <f t="shared" si="0"/>
        <v>0</v>
      </c>
      <c r="E16" s="48" t="s">
        <v>45</v>
      </c>
      <c r="F16" s="3">
        <v>904465360</v>
      </c>
      <c r="G16" s="3">
        <v>797736642</v>
      </c>
      <c r="H16" s="39">
        <f t="shared" si="1"/>
        <v>106728718</v>
      </c>
    </row>
    <row r="17" spans="1:8" ht="16.5" customHeight="1">
      <c r="A17" s="35" t="s">
        <v>60</v>
      </c>
      <c r="B17" s="13">
        <v>55599774</v>
      </c>
      <c r="C17" s="13">
        <v>51411864</v>
      </c>
      <c r="D17" s="39">
        <f t="shared" si="0"/>
        <v>-4187910</v>
      </c>
      <c r="F17" s="25"/>
      <c r="G17" s="25"/>
      <c r="H17" s="39">
        <f t="shared" si="1"/>
        <v>0</v>
      </c>
    </row>
    <row r="18" spans="1:8" ht="16.5" customHeight="1">
      <c r="A18" s="35" t="s">
        <v>61</v>
      </c>
      <c r="B18" s="13">
        <v>608133599</v>
      </c>
      <c r="C18" s="13">
        <v>467217879</v>
      </c>
      <c r="D18" s="39">
        <f t="shared" si="0"/>
        <v>-140915720</v>
      </c>
      <c r="E18" s="2" t="s">
        <v>23</v>
      </c>
      <c r="F18" s="4">
        <f>F13+F16</f>
        <v>1254152607</v>
      </c>
      <c r="G18" s="4">
        <f>G13+G16</f>
        <v>1250211386</v>
      </c>
      <c r="H18" s="39">
        <f t="shared" si="1"/>
        <v>3941221</v>
      </c>
    </row>
    <row r="19" spans="1:8" ht="16.5" customHeight="1">
      <c r="A19" s="35" t="s">
        <v>62</v>
      </c>
      <c r="B19" s="13">
        <v>2086822</v>
      </c>
      <c r="C19" s="13">
        <v>1656822</v>
      </c>
      <c r="D19" s="39">
        <f t="shared" si="0"/>
        <v>-430000</v>
      </c>
      <c r="F19" s="3"/>
      <c r="G19" s="3"/>
      <c r="H19" s="39">
        <f t="shared" si="1"/>
        <v>0</v>
      </c>
    </row>
    <row r="20" spans="1:8" ht="16.5" customHeight="1">
      <c r="A20" s="35" t="s">
        <v>63</v>
      </c>
      <c r="B20" s="13">
        <v>22974040</v>
      </c>
      <c r="C20" s="13">
        <v>21722896</v>
      </c>
      <c r="D20" s="39">
        <f t="shared" si="0"/>
        <v>-1251144</v>
      </c>
      <c r="F20" s="3"/>
      <c r="G20" s="3"/>
      <c r="H20" s="39">
        <f t="shared" si="1"/>
        <v>0</v>
      </c>
    </row>
    <row r="21" spans="1:8" ht="16.5" customHeight="1">
      <c r="A21" s="35" t="s">
        <v>64</v>
      </c>
      <c r="B21" s="13">
        <v>14442877</v>
      </c>
      <c r="C21" s="13">
        <v>13926463</v>
      </c>
      <c r="D21" s="39">
        <f t="shared" si="0"/>
        <v>-516414</v>
      </c>
      <c r="F21" s="3"/>
      <c r="G21" s="3"/>
      <c r="H21" s="39">
        <f t="shared" si="1"/>
        <v>0</v>
      </c>
    </row>
    <row r="22" spans="1:8" ht="16.5" customHeight="1">
      <c r="A22" s="1" t="s">
        <v>17</v>
      </c>
      <c r="B22" s="15">
        <f>SUM(B16:B21)</f>
        <v>991547198</v>
      </c>
      <c r="C22" s="15">
        <f>SUM(C16:C21)</f>
        <v>844246010</v>
      </c>
      <c r="D22" s="39">
        <f t="shared" si="0"/>
        <v>-147301188</v>
      </c>
      <c r="E22" s="18" t="s">
        <v>21</v>
      </c>
      <c r="F22" s="3"/>
      <c r="G22" s="3"/>
      <c r="H22" s="39">
        <f t="shared" si="1"/>
        <v>0</v>
      </c>
    </row>
    <row r="23" spans="1:8" ht="16.5" customHeight="1">
      <c r="A23" s="49" t="s">
        <v>65</v>
      </c>
      <c r="B23" s="3">
        <v>221642030</v>
      </c>
      <c r="C23" s="3">
        <v>168259127</v>
      </c>
      <c r="D23" s="39">
        <f t="shared" si="0"/>
        <v>-53382903</v>
      </c>
      <c r="E23" s="48" t="s">
        <v>33</v>
      </c>
      <c r="F23" s="3">
        <v>304980000</v>
      </c>
      <c r="G23" s="3">
        <v>304980000</v>
      </c>
      <c r="H23" s="39">
        <f t="shared" si="1"/>
        <v>0</v>
      </c>
    </row>
    <row r="24" spans="1:8" ht="16.5" customHeight="1">
      <c r="A24" s="48" t="s">
        <v>74</v>
      </c>
      <c r="B24" s="3">
        <v>3219825</v>
      </c>
      <c r="C24" s="38">
        <v>0</v>
      </c>
      <c r="D24" s="39">
        <f t="shared" si="0"/>
        <v>-3219825</v>
      </c>
      <c r="E24" s="48" t="s">
        <v>46</v>
      </c>
      <c r="F24" s="3">
        <v>57460000</v>
      </c>
      <c r="G24" s="3">
        <v>57460000</v>
      </c>
      <c r="H24" s="39">
        <f t="shared" si="1"/>
        <v>0</v>
      </c>
    </row>
    <row r="25" spans="1:8" ht="16.5" customHeight="1">
      <c r="A25" s="49" t="s">
        <v>66</v>
      </c>
      <c r="B25" s="3">
        <v>6473</v>
      </c>
      <c r="C25" s="3">
        <v>6039</v>
      </c>
      <c r="D25" s="39">
        <f t="shared" si="0"/>
        <v>-434</v>
      </c>
      <c r="E25" s="48" t="s">
        <v>34</v>
      </c>
      <c r="F25" s="3"/>
      <c r="G25" s="3"/>
      <c r="H25" s="39">
        <f t="shared" si="1"/>
        <v>0</v>
      </c>
    </row>
    <row r="26" spans="1:8" ht="16.5" customHeight="1">
      <c r="A26" s="35" t="s">
        <v>67</v>
      </c>
      <c r="B26" s="6">
        <f>B22-B23+B24+B25</f>
        <v>773131466</v>
      </c>
      <c r="C26" s="6">
        <f>C22-C23+C25</f>
        <v>675992922</v>
      </c>
      <c r="D26" s="39">
        <f t="shared" si="0"/>
        <v>-97138544</v>
      </c>
      <c r="E26" s="16" t="s">
        <v>26</v>
      </c>
      <c r="F26" s="3">
        <f>2656286+37016938</f>
        <v>39673224</v>
      </c>
      <c r="G26" s="3">
        <f>2656286+25862198</f>
        <v>28518484</v>
      </c>
      <c r="H26" s="39">
        <f t="shared" si="1"/>
        <v>11154740</v>
      </c>
    </row>
    <row r="27" spans="1:8" s="3" customFormat="1" ht="16.5" customHeight="1">
      <c r="A27" s="35"/>
      <c r="D27" s="39">
        <f t="shared" si="0"/>
        <v>0</v>
      </c>
      <c r="E27" s="16" t="s">
        <v>35</v>
      </c>
      <c r="F27" s="3">
        <f>10906569+122890325+70518488</f>
        <v>204315382</v>
      </c>
      <c r="G27" s="3">
        <f>10906569+83470175+111547401</f>
        <v>205924145</v>
      </c>
      <c r="H27" s="39">
        <f t="shared" si="1"/>
        <v>-1608763</v>
      </c>
    </row>
    <row r="28" spans="1:8" s="3" customFormat="1" ht="16.5" customHeight="1">
      <c r="A28" s="1" t="s">
        <v>68</v>
      </c>
      <c r="B28" s="1"/>
      <c r="C28" s="1"/>
      <c r="D28" s="39">
        <f t="shared" si="0"/>
        <v>0</v>
      </c>
      <c r="E28" s="2" t="s">
        <v>8</v>
      </c>
      <c r="F28" s="6">
        <f>SUM(F23:F27)</f>
        <v>606428606</v>
      </c>
      <c r="G28" s="6">
        <f>SUM(G23:G27)</f>
        <v>596882629</v>
      </c>
      <c r="H28" s="39">
        <f t="shared" si="1"/>
        <v>9545977</v>
      </c>
    </row>
    <row r="29" spans="1:8" s="3" customFormat="1" ht="16.5" customHeight="1">
      <c r="A29" s="49" t="s">
        <v>69</v>
      </c>
      <c r="B29" s="13">
        <v>9882662</v>
      </c>
      <c r="C29" s="13">
        <v>4254001</v>
      </c>
      <c r="D29" s="39">
        <f t="shared" si="0"/>
        <v>-5628661</v>
      </c>
      <c r="E29" s="34"/>
      <c r="F29" s="23"/>
      <c r="G29" s="23"/>
      <c r="H29" s="39">
        <f t="shared" si="1"/>
        <v>0</v>
      </c>
    </row>
    <row r="30" spans="1:8" ht="16.5" customHeight="1">
      <c r="A30" s="49" t="s">
        <v>70</v>
      </c>
      <c r="B30" s="13">
        <v>7251719</v>
      </c>
      <c r="C30" s="13">
        <v>5156400</v>
      </c>
      <c r="D30" s="39">
        <f t="shared" si="0"/>
        <v>-2095319</v>
      </c>
      <c r="E30" s="3"/>
      <c r="F30" s="3"/>
      <c r="G30" s="3"/>
      <c r="H30" s="39">
        <f t="shared" si="1"/>
        <v>0</v>
      </c>
    </row>
    <row r="31" spans="1:8" ht="16.5" customHeight="1">
      <c r="A31" s="35" t="s">
        <v>71</v>
      </c>
      <c r="B31" s="14">
        <f>SUM(B29:B30)</f>
        <v>17134381</v>
      </c>
      <c r="C31" s="14">
        <f>SUM(C29:C30)</f>
        <v>9410401</v>
      </c>
      <c r="D31" s="39">
        <f t="shared" si="0"/>
        <v>-7723980</v>
      </c>
      <c r="E31" s="3"/>
      <c r="F31" s="3"/>
      <c r="G31" s="3"/>
      <c r="H31" s="39">
        <f t="shared" si="1"/>
        <v>0</v>
      </c>
    </row>
    <row r="32" spans="1:8" ht="16.5" customHeight="1">
      <c r="A32" s="49"/>
      <c r="B32" s="13"/>
      <c r="C32" s="13"/>
      <c r="D32" s="39">
        <f t="shared" si="0"/>
        <v>0</v>
      </c>
      <c r="E32" s="3"/>
      <c r="F32" s="3"/>
      <c r="G32" s="3"/>
      <c r="H32" s="39">
        <f t="shared" si="1"/>
        <v>0</v>
      </c>
    </row>
    <row r="33" spans="1:8" ht="16.5" customHeight="1" thickBot="1">
      <c r="A33" s="3" t="s">
        <v>72</v>
      </c>
      <c r="B33" s="17">
        <f>B9+B12+B26+B31</f>
        <v>1860581213</v>
      </c>
      <c r="C33" s="17">
        <f>C9+C12+C26+C31</f>
        <v>1847094015</v>
      </c>
      <c r="D33" s="11"/>
      <c r="E33" s="7" t="s">
        <v>9</v>
      </c>
      <c r="F33" s="17">
        <f>F18+F28</f>
        <v>1860581213</v>
      </c>
      <c r="G33" s="17">
        <f>G18+G28</f>
        <v>1847094015</v>
      </c>
      <c r="H33" s="23"/>
    </row>
    <row r="34" spans="1:8" ht="16.5" customHeight="1" thickTop="1">
      <c r="A34" s="3"/>
      <c r="B34" s="3"/>
      <c r="C34" s="3"/>
      <c r="D34" s="23"/>
      <c r="E34" s="3"/>
      <c r="F34" s="23"/>
      <c r="G34" s="23"/>
      <c r="H34" s="23"/>
    </row>
    <row r="35" spans="1:8" ht="17.100000000000001" customHeight="1">
      <c r="B35" s="23"/>
      <c r="C35" s="23"/>
      <c r="F35" s="23"/>
      <c r="G35" s="23"/>
    </row>
    <row r="36" spans="1:8" ht="17.100000000000001" customHeight="1">
      <c r="A36" s="34"/>
      <c r="B36" s="23"/>
      <c r="C36" s="23"/>
      <c r="E36" s="34"/>
      <c r="F36" s="23"/>
      <c r="G36" s="23"/>
    </row>
    <row r="37" spans="1:8" ht="17.100000000000001" customHeight="1" thickBot="1">
      <c r="A37" s="1" t="s">
        <v>73</v>
      </c>
      <c r="E37" s="34"/>
      <c r="G37" s="47"/>
    </row>
    <row r="38" spans="1:8" ht="17.100000000000001" customHeight="1">
      <c r="B38" s="41">
        <v>288310086</v>
      </c>
      <c r="C38" s="43" t="s">
        <v>75</v>
      </c>
      <c r="D38" s="50" t="s">
        <v>38</v>
      </c>
      <c r="E38" s="51" t="s">
        <v>7</v>
      </c>
      <c r="F38" s="52">
        <v>288310086</v>
      </c>
    </row>
    <row r="39" spans="1:8">
      <c r="B39" s="41">
        <v>55599774</v>
      </c>
      <c r="C39" s="41">
        <v>23598255</v>
      </c>
      <c r="D39" s="50" t="s">
        <v>38</v>
      </c>
      <c r="E39" s="50"/>
      <c r="F39" s="41">
        <f>B39-C39</f>
        <v>32001519</v>
      </c>
    </row>
    <row r="40" spans="1:8">
      <c r="B40" s="41">
        <v>608133599</v>
      </c>
      <c r="C40" s="41">
        <v>172357639</v>
      </c>
      <c r="D40" s="50" t="s">
        <v>38</v>
      </c>
      <c r="E40" s="50"/>
      <c r="F40" s="41">
        <f t="shared" ref="F40:F46" si="2">B40-C40</f>
        <v>435775960</v>
      </c>
    </row>
    <row r="41" spans="1:8">
      <c r="B41" s="41">
        <v>2086822</v>
      </c>
      <c r="C41" s="41">
        <v>1243704</v>
      </c>
      <c r="D41" s="50" t="s">
        <v>38</v>
      </c>
      <c r="E41" s="50"/>
      <c r="F41" s="41">
        <f t="shared" si="2"/>
        <v>843118</v>
      </c>
    </row>
    <row r="42" spans="1:8">
      <c r="B42" s="41">
        <v>22974040</v>
      </c>
      <c r="C42" s="41">
        <v>13576662</v>
      </c>
      <c r="D42" s="50" t="s">
        <v>38</v>
      </c>
      <c r="E42" s="50"/>
      <c r="F42" s="41">
        <f t="shared" si="2"/>
        <v>9397378</v>
      </c>
    </row>
    <row r="43" spans="1:8">
      <c r="B43" s="41">
        <v>14442877</v>
      </c>
      <c r="C43" s="41">
        <v>10865770</v>
      </c>
      <c r="D43" s="50" t="s">
        <v>38</v>
      </c>
      <c r="E43" s="50"/>
      <c r="F43" s="41">
        <f t="shared" si="2"/>
        <v>3577107</v>
      </c>
    </row>
    <row r="44" spans="1:8" ht="17.25">
      <c r="B44" s="41">
        <v>3219825</v>
      </c>
      <c r="C44" s="43" t="s">
        <v>76</v>
      </c>
      <c r="D44" s="50" t="s">
        <v>38</v>
      </c>
      <c r="E44" s="50"/>
      <c r="F44" s="41">
        <f>B44</f>
        <v>3219825</v>
      </c>
    </row>
    <row r="45" spans="1:8" ht="18" thickBot="1">
      <c r="B45" s="41">
        <v>6473</v>
      </c>
      <c r="C45" s="43" t="s">
        <v>76</v>
      </c>
      <c r="D45" s="50"/>
      <c r="E45" s="50"/>
      <c r="F45" s="41">
        <f>B45</f>
        <v>6473</v>
      </c>
    </row>
    <row r="46" spans="1:8" ht="17.25" thickBot="1">
      <c r="B46" s="44">
        <v>994773496</v>
      </c>
      <c r="C46" s="44">
        <v>221642030</v>
      </c>
      <c r="D46" s="50" t="s">
        <v>38</v>
      </c>
      <c r="E46" s="53" t="s">
        <v>7</v>
      </c>
      <c r="F46" s="41">
        <f t="shared" si="2"/>
        <v>773131466</v>
      </c>
    </row>
    <row r="47" spans="1:8" ht="17.25" thickTop="1"/>
  </sheetData>
  <phoneticPr fontId="9" type="noConversion"/>
  <printOptions horizontalCentered="1"/>
  <pageMargins left="0.15748031496062992" right="0.15748031496062992" top="0.70866141732283472" bottom="0.19685039370078741" header="0.27559055118110237" footer="0.31496062992125984"/>
  <pageSetup paperSize="9" scale="72" firstPageNumber="2" orientation="landscape" useFirstPageNumber="1" r:id="rId1"/>
  <headerFooter alignWithMargins="0">
    <oddFooter>&amp;C&amp;"Book Antiqua,粗體"- &amp;P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61"/>
  <sheetViews>
    <sheetView view="pageBreakPreview" zoomScale="106" zoomScaleNormal="100" zoomScaleSheetLayoutView="106" workbookViewId="0">
      <pane xSplit="2" ySplit="5" topLeftCell="C6" activePane="bottomRight" state="frozen"/>
      <selection pane="topRight" activeCell="C1" sqref="C1"/>
      <selection pane="bottomLeft" activeCell="A8" sqref="A8"/>
      <selection pane="bottomRight" activeCell="I54" sqref="I54"/>
    </sheetView>
  </sheetViews>
  <sheetFormatPr defaultColWidth="9" defaultRowHeight="20.100000000000001" customHeight="1"/>
  <cols>
    <col min="1" max="1" width="41.5" style="55" customWidth="1"/>
    <col min="2" max="2" width="1.875" style="55" customWidth="1"/>
    <col min="3" max="3" width="13" style="55" customWidth="1"/>
    <col min="4" max="4" width="2.375" style="55" customWidth="1"/>
    <col min="5" max="5" width="12.25" style="55" customWidth="1"/>
    <col min="6" max="6" width="1.375" style="55" customWidth="1"/>
    <col min="7" max="7" width="14" style="55" customWidth="1"/>
    <col min="8" max="8" width="2.25" style="55" customWidth="1"/>
    <col min="9" max="9" width="43.875" style="55" bestFit="1" customWidth="1"/>
    <col min="10" max="10" width="2" style="55" customWidth="1"/>
    <col min="11" max="11" width="4.5" style="58" bestFit="1" customWidth="1"/>
    <col min="12" max="16384" width="9" style="55"/>
  </cols>
  <sheetData>
    <row r="1" spans="1:11" ht="30.75" customHeight="1">
      <c r="A1" s="533" t="s">
        <v>80</v>
      </c>
      <c r="B1" s="533"/>
      <c r="C1" s="533"/>
      <c r="D1" s="533"/>
      <c r="E1" s="533"/>
      <c r="F1" s="533"/>
      <c r="G1" s="533"/>
      <c r="H1" s="533"/>
      <c r="I1" s="533"/>
    </row>
    <row r="2" spans="1:11" ht="20.100000000000001" customHeight="1">
      <c r="A2" s="55" t="s">
        <v>81</v>
      </c>
    </row>
    <row r="4" spans="1:11" ht="20.100000000000001" customHeight="1">
      <c r="A4" s="532" t="s">
        <v>82</v>
      </c>
      <c r="B4" s="532"/>
      <c r="C4" s="532"/>
      <c r="E4" s="56" t="s">
        <v>99</v>
      </c>
      <c r="G4" s="532" t="s">
        <v>165</v>
      </c>
      <c r="H4" s="532"/>
      <c r="I4" s="532"/>
    </row>
    <row r="5" spans="1:11" ht="20.100000000000001" customHeight="1">
      <c r="A5" s="56" t="s">
        <v>83</v>
      </c>
      <c r="C5" s="56" t="s">
        <v>84</v>
      </c>
      <c r="E5" s="56" t="s">
        <v>100</v>
      </c>
      <c r="G5" s="56" t="s">
        <v>84</v>
      </c>
      <c r="I5" s="56" t="s">
        <v>83</v>
      </c>
      <c r="K5" s="59" t="s">
        <v>166</v>
      </c>
    </row>
    <row r="6" spans="1:11" ht="20.100000000000001" customHeight="1">
      <c r="A6" s="55" t="s">
        <v>101</v>
      </c>
      <c r="I6" s="55" t="s">
        <v>101</v>
      </c>
    </row>
    <row r="7" spans="1:11" ht="20.100000000000001" customHeight="1">
      <c r="A7" s="55" t="s">
        <v>85</v>
      </c>
      <c r="I7" s="55" t="s">
        <v>85</v>
      </c>
      <c r="K7" s="58">
        <v>1</v>
      </c>
    </row>
    <row r="8" spans="1:11" ht="20.100000000000001" customHeight="1">
      <c r="A8" s="55" t="s">
        <v>102</v>
      </c>
      <c r="I8" s="55" t="s">
        <v>167</v>
      </c>
      <c r="K8" s="58">
        <v>2</v>
      </c>
    </row>
    <row r="9" spans="1:11" ht="20.100000000000001" customHeight="1">
      <c r="A9" s="55" t="s">
        <v>103</v>
      </c>
      <c r="I9" s="55" t="s">
        <v>103</v>
      </c>
    </row>
    <row r="10" spans="1:11" ht="20.100000000000001" customHeight="1">
      <c r="A10" s="55" t="s">
        <v>104</v>
      </c>
      <c r="I10" s="55" t="s">
        <v>104</v>
      </c>
    </row>
    <row r="11" spans="1:11" ht="20.100000000000001" customHeight="1">
      <c r="A11" s="55" t="s">
        <v>105</v>
      </c>
      <c r="I11" s="55" t="s">
        <v>168</v>
      </c>
    </row>
    <row r="12" spans="1:11" ht="20.100000000000001" customHeight="1">
      <c r="A12" s="55" t="s">
        <v>106</v>
      </c>
      <c r="I12" s="55" t="s">
        <v>106</v>
      </c>
      <c r="K12" s="58">
        <v>2</v>
      </c>
    </row>
    <row r="13" spans="1:11" ht="20.100000000000001" customHeight="1">
      <c r="A13" s="55" t="s">
        <v>107</v>
      </c>
      <c r="I13" s="55" t="s">
        <v>107</v>
      </c>
      <c r="K13" s="58">
        <v>1</v>
      </c>
    </row>
    <row r="14" spans="1:11" ht="20.100000000000001" customHeight="1">
      <c r="A14" s="55" t="s">
        <v>86</v>
      </c>
      <c r="I14" s="55" t="s">
        <v>86</v>
      </c>
    </row>
    <row r="15" spans="1:11" ht="20.100000000000001" customHeight="1">
      <c r="A15" s="55" t="s">
        <v>87</v>
      </c>
      <c r="I15" s="55" t="s">
        <v>87</v>
      </c>
    </row>
    <row r="16" spans="1:11" ht="20.100000000000001" customHeight="1">
      <c r="A16" s="55" t="s">
        <v>88</v>
      </c>
      <c r="I16" s="55" t="s">
        <v>88</v>
      </c>
    </row>
    <row r="17" spans="1:11" ht="20.100000000000001" customHeight="1">
      <c r="A17" s="55" t="s">
        <v>108</v>
      </c>
      <c r="I17" s="55" t="s">
        <v>169</v>
      </c>
    </row>
    <row r="18" spans="1:11" ht="20.100000000000001" customHeight="1">
      <c r="A18" s="55" t="s">
        <v>89</v>
      </c>
      <c r="I18" s="55" t="s">
        <v>89</v>
      </c>
    </row>
    <row r="19" spans="1:11" ht="20.100000000000001" customHeight="1">
      <c r="A19" s="55" t="s">
        <v>108</v>
      </c>
      <c r="I19" s="55" t="s">
        <v>170</v>
      </c>
    </row>
    <row r="20" spans="1:11" ht="20.100000000000001" customHeight="1">
      <c r="A20" s="55" t="s">
        <v>90</v>
      </c>
      <c r="I20" s="55" t="s">
        <v>90</v>
      </c>
    </row>
    <row r="21" spans="1:11" ht="20.100000000000001" customHeight="1">
      <c r="A21" s="55" t="s">
        <v>91</v>
      </c>
      <c r="I21" s="55" t="s">
        <v>91</v>
      </c>
      <c r="K21" s="58" t="s">
        <v>171</v>
      </c>
    </row>
    <row r="22" spans="1:11" ht="20.100000000000001" customHeight="1">
      <c r="A22" s="55" t="s">
        <v>92</v>
      </c>
      <c r="I22" s="55" t="s">
        <v>108</v>
      </c>
      <c r="K22" s="58">
        <v>7</v>
      </c>
    </row>
    <row r="23" spans="1:11" ht="20.100000000000001" customHeight="1">
      <c r="A23" s="55" t="s">
        <v>93</v>
      </c>
      <c r="I23" s="55" t="s">
        <v>93</v>
      </c>
    </row>
    <row r="24" spans="1:11" ht="20.100000000000001" customHeight="1">
      <c r="A24" s="55" t="s">
        <v>94</v>
      </c>
      <c r="C24" s="57"/>
      <c r="I24" s="55" t="s">
        <v>94</v>
      </c>
    </row>
    <row r="25" spans="1:11" ht="20.100000000000001" customHeight="1">
      <c r="A25" s="55" t="s">
        <v>95</v>
      </c>
      <c r="I25" s="55" t="s">
        <v>95</v>
      </c>
    </row>
    <row r="27" spans="1:11" ht="20.100000000000001" customHeight="1">
      <c r="A27" s="55" t="s">
        <v>96</v>
      </c>
      <c r="I27" s="55" t="s">
        <v>172</v>
      </c>
    </row>
    <row r="28" spans="1:11" ht="20.100000000000001" customHeight="1">
      <c r="A28" s="55" t="s">
        <v>109</v>
      </c>
      <c r="I28" s="55" t="s">
        <v>173</v>
      </c>
    </row>
    <row r="29" spans="1:11" ht="20.100000000000001" customHeight="1">
      <c r="A29" s="55" t="s">
        <v>110</v>
      </c>
      <c r="I29" s="55" t="s">
        <v>110</v>
      </c>
      <c r="K29" s="58">
        <v>2</v>
      </c>
    </row>
    <row r="30" spans="1:11" ht="20.100000000000001" customHeight="1">
      <c r="A30" s="55" t="s">
        <v>111</v>
      </c>
      <c r="I30" s="55" t="s">
        <v>111</v>
      </c>
    </row>
    <row r="31" spans="1:11" ht="20.100000000000001" customHeight="1">
      <c r="A31" s="55" t="s">
        <v>112</v>
      </c>
      <c r="I31" s="55" t="s">
        <v>174</v>
      </c>
    </row>
    <row r="32" spans="1:11" ht="20.100000000000001" customHeight="1">
      <c r="A32" s="55" t="s">
        <v>113</v>
      </c>
      <c r="I32" s="55" t="s">
        <v>113</v>
      </c>
      <c r="K32" s="58">
        <v>2</v>
      </c>
    </row>
    <row r="33" spans="1:11" ht="20.100000000000001" customHeight="1">
      <c r="A33" s="55" t="s">
        <v>114</v>
      </c>
      <c r="I33" s="55" t="s">
        <v>114</v>
      </c>
    </row>
    <row r="34" spans="1:11" ht="20.100000000000001" customHeight="1">
      <c r="A34" s="55" t="s">
        <v>97</v>
      </c>
      <c r="I34" s="55" t="s">
        <v>97</v>
      </c>
    </row>
    <row r="35" spans="1:11" ht="20.100000000000001" customHeight="1">
      <c r="A35" s="55" t="s">
        <v>98</v>
      </c>
      <c r="I35" s="55" t="s">
        <v>175</v>
      </c>
    </row>
    <row r="36" spans="1:11" ht="20.100000000000001" customHeight="1">
      <c r="A36" s="55" t="s">
        <v>115</v>
      </c>
      <c r="I36" s="55" t="s">
        <v>115</v>
      </c>
    </row>
    <row r="39" spans="1:11" ht="20.100000000000001" customHeight="1">
      <c r="A39" s="55" t="s">
        <v>116</v>
      </c>
      <c r="I39" s="55" t="s">
        <v>176</v>
      </c>
      <c r="K39" s="58">
        <v>5</v>
      </c>
    </row>
    <row r="40" spans="1:11" ht="20.100000000000001" customHeight="1">
      <c r="A40" s="55" t="s">
        <v>108</v>
      </c>
      <c r="I40" s="55" t="s">
        <v>177</v>
      </c>
      <c r="K40" s="58">
        <v>4</v>
      </c>
    </row>
    <row r="42" spans="1:11" ht="20.100000000000001" customHeight="1">
      <c r="A42" s="55" t="s">
        <v>117</v>
      </c>
      <c r="I42" s="55" t="s">
        <v>178</v>
      </c>
      <c r="K42" s="58">
        <v>3</v>
      </c>
    </row>
    <row r="43" spans="1:11" ht="20.100000000000001" customHeight="1">
      <c r="A43" s="55" t="s">
        <v>108</v>
      </c>
      <c r="I43" s="55" t="s">
        <v>179</v>
      </c>
    </row>
    <row r="45" spans="1:11" ht="20.100000000000001" customHeight="1">
      <c r="I45" s="55" t="s">
        <v>180</v>
      </c>
    </row>
    <row r="47" spans="1:11" ht="20.100000000000001" customHeight="1">
      <c r="A47" s="55" t="s">
        <v>118</v>
      </c>
    </row>
    <row r="48" spans="1:11" ht="20.100000000000001" customHeight="1">
      <c r="A48" s="55" t="s">
        <v>119</v>
      </c>
      <c r="I48" s="55" t="s">
        <v>108</v>
      </c>
      <c r="K48" s="58">
        <v>4</v>
      </c>
    </row>
    <row r="49" spans="1:11" ht="20.100000000000001" customHeight="1">
      <c r="A49" s="55" t="s">
        <v>120</v>
      </c>
      <c r="I49" s="55" t="s">
        <v>108</v>
      </c>
      <c r="K49" s="58">
        <v>4</v>
      </c>
    </row>
    <row r="50" spans="1:11" ht="20.100000000000001" customHeight="1">
      <c r="A50" s="55" t="s">
        <v>108</v>
      </c>
      <c r="I50" s="55" t="s">
        <v>181</v>
      </c>
      <c r="K50" s="58">
        <v>3</v>
      </c>
    </row>
    <row r="51" spans="1:11" ht="20.100000000000001" customHeight="1">
      <c r="A51" s="55" t="s">
        <v>121</v>
      </c>
      <c r="I51" s="55" t="s">
        <v>121</v>
      </c>
    </row>
    <row r="52" spans="1:11" ht="20.100000000000001" customHeight="1">
      <c r="A52" s="55" t="s">
        <v>92</v>
      </c>
      <c r="I52" s="55" t="s">
        <v>92</v>
      </c>
      <c r="K52" s="58">
        <v>7</v>
      </c>
    </row>
    <row r="54" spans="1:11" ht="20.100000000000001" customHeight="1">
      <c r="A54" s="55" t="s">
        <v>122</v>
      </c>
      <c r="I54" s="55" t="s">
        <v>122</v>
      </c>
    </row>
    <row r="57" spans="1:11" ht="20.100000000000001" customHeight="1">
      <c r="A57" s="55" t="s">
        <v>82</v>
      </c>
      <c r="E57" s="55" t="s">
        <v>99</v>
      </c>
      <c r="G57" s="55" t="s">
        <v>165</v>
      </c>
    </row>
    <row r="58" spans="1:11" ht="20.100000000000001" customHeight="1">
      <c r="A58" s="55" t="s">
        <v>83</v>
      </c>
      <c r="C58" s="55" t="s">
        <v>84</v>
      </c>
      <c r="E58" s="55" t="s">
        <v>100</v>
      </c>
      <c r="G58" s="55" t="s">
        <v>84</v>
      </c>
      <c r="H58" s="55" t="s">
        <v>83</v>
      </c>
      <c r="J58" s="55" t="s">
        <v>166</v>
      </c>
    </row>
    <row r="59" spans="1:11" ht="20.100000000000001" customHeight="1">
      <c r="A59" s="55" t="s">
        <v>6</v>
      </c>
      <c r="H59" s="55" t="s">
        <v>6</v>
      </c>
    </row>
    <row r="60" spans="1:11" ht="20.100000000000001" customHeight="1">
      <c r="A60" s="55" t="s">
        <v>123</v>
      </c>
      <c r="H60" s="55" t="s">
        <v>123</v>
      </c>
    </row>
    <row r="61" spans="1:11" ht="20.100000000000001" customHeight="1">
      <c r="A61" s="55" t="s">
        <v>124</v>
      </c>
      <c r="H61" s="55" t="s">
        <v>124</v>
      </c>
    </row>
    <row r="62" spans="1:11" ht="20.100000000000001" customHeight="1">
      <c r="A62" s="55" t="s">
        <v>125</v>
      </c>
      <c r="H62" s="55" t="s">
        <v>182</v>
      </c>
    </row>
    <row r="63" spans="1:11" ht="20.100000000000001" customHeight="1">
      <c r="A63" s="55" t="s">
        <v>126</v>
      </c>
      <c r="H63" s="55" t="s">
        <v>183</v>
      </c>
    </row>
    <row r="64" spans="1:11" ht="20.100000000000001" customHeight="1">
      <c r="A64" s="55" t="s">
        <v>127</v>
      </c>
      <c r="H64" s="55" t="s">
        <v>127</v>
      </c>
    </row>
    <row r="65" spans="1:10" ht="20.100000000000001" customHeight="1">
      <c r="A65" s="55" t="s">
        <v>128</v>
      </c>
      <c r="H65" s="55" t="s">
        <v>128</v>
      </c>
    </row>
    <row r="66" spans="1:10" ht="20.100000000000001" customHeight="1">
      <c r="A66" s="55" t="s">
        <v>129</v>
      </c>
      <c r="H66" s="55" t="s">
        <v>129</v>
      </c>
    </row>
    <row r="67" spans="1:10" ht="20.100000000000001" customHeight="1">
      <c r="A67" s="55" t="s">
        <v>130</v>
      </c>
      <c r="H67" s="55" t="s">
        <v>130</v>
      </c>
    </row>
    <row r="68" spans="1:10" ht="20.100000000000001" customHeight="1">
      <c r="A68" s="55" t="s">
        <v>131</v>
      </c>
      <c r="H68" s="55" t="s">
        <v>184</v>
      </c>
    </row>
    <row r="69" spans="1:10" ht="20.100000000000001" customHeight="1">
      <c r="A69" s="55" t="s">
        <v>132</v>
      </c>
      <c r="H69" s="55" t="s">
        <v>132</v>
      </c>
    </row>
    <row r="70" spans="1:10" ht="20.100000000000001" customHeight="1">
      <c r="A70" s="55" t="s">
        <v>133</v>
      </c>
      <c r="H70" s="55" t="s">
        <v>133</v>
      </c>
    </row>
    <row r="71" spans="1:10" ht="20.100000000000001" customHeight="1">
      <c r="A71" s="55" t="s">
        <v>134</v>
      </c>
      <c r="H71" s="55" t="s">
        <v>134</v>
      </c>
    </row>
    <row r="72" spans="1:10" ht="20.100000000000001" customHeight="1">
      <c r="A72" s="55" t="s">
        <v>135</v>
      </c>
      <c r="H72" s="55" t="s">
        <v>135</v>
      </c>
    </row>
    <row r="73" spans="1:10" ht="20.100000000000001" customHeight="1">
      <c r="A73" s="55" t="s">
        <v>136</v>
      </c>
      <c r="H73" s="55" t="s">
        <v>185</v>
      </c>
    </row>
    <row r="74" spans="1:10" ht="20.100000000000001" customHeight="1">
      <c r="A74" s="55" t="s">
        <v>108</v>
      </c>
      <c r="H74" s="55" t="s">
        <v>186</v>
      </c>
    </row>
    <row r="75" spans="1:10" ht="20.100000000000001" customHeight="1">
      <c r="A75" s="55" t="s">
        <v>108</v>
      </c>
      <c r="H75" s="55" t="s">
        <v>187</v>
      </c>
    </row>
    <row r="76" spans="1:10" ht="20.100000000000001" customHeight="1">
      <c r="A76" s="55" t="s">
        <v>137</v>
      </c>
      <c r="H76" s="55" t="s">
        <v>108</v>
      </c>
      <c r="J76" s="55">
        <v>7</v>
      </c>
    </row>
    <row r="77" spans="1:10" ht="20.100000000000001" customHeight="1">
      <c r="A77" s="55" t="s">
        <v>138</v>
      </c>
      <c r="H77" s="55" t="s">
        <v>138</v>
      </c>
    </row>
    <row r="78" spans="1:10" ht="20.100000000000001" customHeight="1">
      <c r="A78" s="55" t="s">
        <v>139</v>
      </c>
      <c r="H78" s="55" t="s">
        <v>139</v>
      </c>
    </row>
    <row r="79" spans="1:10" ht="20.100000000000001" customHeight="1">
      <c r="A79" s="55" t="s">
        <v>140</v>
      </c>
      <c r="H79" s="55" t="s">
        <v>140</v>
      </c>
    </row>
    <row r="81" spans="1:10" ht="20.100000000000001" customHeight="1">
      <c r="A81" s="55" t="s">
        <v>141</v>
      </c>
      <c r="H81" s="55" t="s">
        <v>188</v>
      </c>
    </row>
    <row r="82" spans="1:10" ht="20.100000000000001" customHeight="1">
      <c r="A82" s="55" t="s">
        <v>142</v>
      </c>
      <c r="H82" s="55" t="s">
        <v>189</v>
      </c>
    </row>
    <row r="83" spans="1:10" ht="20.100000000000001" customHeight="1">
      <c r="A83" s="55" t="s">
        <v>112</v>
      </c>
      <c r="H83" s="55" t="s">
        <v>190</v>
      </c>
    </row>
    <row r="84" spans="1:10" ht="20.100000000000001" customHeight="1">
      <c r="A84" s="55" t="s">
        <v>143</v>
      </c>
      <c r="H84" s="55" t="s">
        <v>143</v>
      </c>
    </row>
    <row r="85" spans="1:10" ht="20.100000000000001" customHeight="1">
      <c r="A85" s="55" t="s">
        <v>144</v>
      </c>
      <c r="H85" s="55" t="s">
        <v>144</v>
      </c>
    </row>
    <row r="86" spans="1:10" ht="20.100000000000001" customHeight="1">
      <c r="A86" s="55" t="s">
        <v>145</v>
      </c>
      <c r="H86" s="55" t="s">
        <v>145</v>
      </c>
    </row>
    <row r="87" spans="1:10" ht="20.100000000000001" customHeight="1">
      <c r="A87" s="55" t="s">
        <v>146</v>
      </c>
      <c r="H87" s="55" t="s">
        <v>146</v>
      </c>
    </row>
    <row r="88" spans="1:10" ht="20.100000000000001" customHeight="1">
      <c r="A88" s="55" t="s">
        <v>147</v>
      </c>
      <c r="H88" s="55" t="s">
        <v>147</v>
      </c>
    </row>
    <row r="89" spans="1:10" ht="20.100000000000001" customHeight="1">
      <c r="A89" s="55" t="s">
        <v>108</v>
      </c>
      <c r="H89" s="55" t="s">
        <v>191</v>
      </c>
    </row>
    <row r="90" spans="1:10" ht="20.100000000000001" customHeight="1">
      <c r="A90" s="55" t="s">
        <v>108</v>
      </c>
      <c r="H90" s="55" t="s">
        <v>192</v>
      </c>
    </row>
    <row r="91" spans="1:10" ht="20.100000000000001" customHeight="1">
      <c r="A91" s="55" t="s">
        <v>108</v>
      </c>
      <c r="H91" s="55" t="s">
        <v>193</v>
      </c>
    </row>
    <row r="92" spans="1:10" ht="20.100000000000001" customHeight="1">
      <c r="A92" s="55" t="s">
        <v>133</v>
      </c>
      <c r="H92" s="55" t="s">
        <v>133</v>
      </c>
    </row>
    <row r="94" spans="1:10" ht="20.100000000000001" customHeight="1">
      <c r="A94" s="55" t="s">
        <v>148</v>
      </c>
    </row>
    <row r="95" spans="1:10" ht="20.100000000000001" customHeight="1">
      <c r="A95" s="55" t="s">
        <v>149</v>
      </c>
      <c r="H95" s="55" t="s">
        <v>149</v>
      </c>
    </row>
    <row r="96" spans="1:10" ht="20.100000000000001" customHeight="1">
      <c r="A96" s="55" t="s">
        <v>137</v>
      </c>
      <c r="H96" s="55" t="s">
        <v>137</v>
      </c>
      <c r="J96" s="55">
        <v>7</v>
      </c>
    </row>
    <row r="98" spans="1:8" ht="20.100000000000001" customHeight="1">
      <c r="A98" s="55" t="s">
        <v>150</v>
      </c>
      <c r="H98" s="55" t="s">
        <v>150</v>
      </c>
    </row>
    <row r="100" spans="1:8" ht="20.100000000000001" customHeight="1">
      <c r="A100" s="55" t="s">
        <v>151</v>
      </c>
      <c r="H100" s="55" t="s">
        <v>151</v>
      </c>
    </row>
    <row r="101" spans="1:8" ht="20.100000000000001" customHeight="1">
      <c r="A101" s="55" t="s">
        <v>152</v>
      </c>
      <c r="H101" s="55" t="s">
        <v>152</v>
      </c>
    </row>
    <row r="102" spans="1:8" ht="20.100000000000001" customHeight="1">
      <c r="A102" s="55" t="s">
        <v>153</v>
      </c>
      <c r="H102" s="55" t="s">
        <v>153</v>
      </c>
    </row>
    <row r="103" spans="1:8" ht="20.100000000000001" customHeight="1">
      <c r="A103" s="55" t="s">
        <v>154</v>
      </c>
      <c r="H103" s="55" t="s">
        <v>154</v>
      </c>
    </row>
    <row r="104" spans="1:8" ht="20.100000000000001" customHeight="1">
      <c r="A104" s="55" t="s">
        <v>155</v>
      </c>
      <c r="H104" s="55" t="s">
        <v>155</v>
      </c>
    </row>
    <row r="105" spans="1:8" ht="20.100000000000001" customHeight="1">
      <c r="A105" s="55" t="s">
        <v>156</v>
      </c>
      <c r="H105" s="55" t="s">
        <v>156</v>
      </c>
    </row>
    <row r="106" spans="1:8" ht="20.100000000000001" customHeight="1">
      <c r="A106" s="55" t="s">
        <v>157</v>
      </c>
      <c r="H106" s="55" t="s">
        <v>157</v>
      </c>
    </row>
    <row r="107" spans="1:8" ht="20.100000000000001" customHeight="1">
      <c r="A107" s="55" t="s">
        <v>158</v>
      </c>
      <c r="H107" s="55" t="s">
        <v>158</v>
      </c>
    </row>
    <row r="108" spans="1:8" ht="20.100000000000001" customHeight="1">
      <c r="A108" s="55" t="s">
        <v>159</v>
      </c>
      <c r="H108" s="55" t="s">
        <v>194</v>
      </c>
    </row>
    <row r="109" spans="1:8" ht="20.100000000000001" customHeight="1">
      <c r="A109" s="55" t="s">
        <v>160</v>
      </c>
      <c r="H109" s="55" t="s">
        <v>160</v>
      </c>
    </row>
    <row r="110" spans="1:8" ht="20.100000000000001" customHeight="1">
      <c r="A110" s="55" t="s">
        <v>161</v>
      </c>
      <c r="H110" s="55" t="s">
        <v>161</v>
      </c>
    </row>
    <row r="111" spans="1:8" ht="20.100000000000001" customHeight="1">
      <c r="A111" s="55" t="s">
        <v>162</v>
      </c>
      <c r="H111" s="55" t="s">
        <v>78</v>
      </c>
    </row>
    <row r="112" spans="1:8" ht="20.100000000000001" customHeight="1">
      <c r="A112" s="55" t="s">
        <v>163</v>
      </c>
      <c r="H112" s="55" t="s">
        <v>163</v>
      </c>
    </row>
    <row r="113" spans="1:10" ht="20.100000000000001" customHeight="1">
      <c r="A113" s="55" t="s">
        <v>164</v>
      </c>
      <c r="H113" s="55" t="s">
        <v>195</v>
      </c>
    </row>
    <row r="114" spans="1:10" ht="20.100000000000001" customHeight="1">
      <c r="A114" s="55" t="s">
        <v>8</v>
      </c>
      <c r="H114" s="55" t="s">
        <v>196</v>
      </c>
    </row>
    <row r="115" spans="1:10" ht="20.100000000000001" customHeight="1">
      <c r="A115" s="55" t="s">
        <v>9</v>
      </c>
      <c r="H115" s="55" t="s">
        <v>197</v>
      </c>
    </row>
    <row r="117" spans="1:10" ht="20.100000000000001" customHeight="1">
      <c r="A117" s="55" t="s">
        <v>198</v>
      </c>
    </row>
    <row r="119" spans="1:10" ht="20.100000000000001" customHeight="1">
      <c r="A119" s="55" t="s">
        <v>82</v>
      </c>
      <c r="E119" s="55" t="s">
        <v>99</v>
      </c>
      <c r="G119" s="55" t="s">
        <v>165</v>
      </c>
    </row>
    <row r="120" spans="1:10" ht="20.100000000000001" customHeight="1">
      <c r="A120" s="55" t="s">
        <v>83</v>
      </c>
      <c r="C120" s="55" t="s">
        <v>84</v>
      </c>
      <c r="E120" s="55" t="s">
        <v>100</v>
      </c>
      <c r="G120" s="55" t="s">
        <v>84</v>
      </c>
      <c r="H120" s="55" t="s">
        <v>83</v>
      </c>
      <c r="J120" s="55" t="s">
        <v>166</v>
      </c>
    </row>
    <row r="122" spans="1:10" ht="20.100000000000001" customHeight="1">
      <c r="A122" s="55" t="s">
        <v>199</v>
      </c>
      <c r="H122" s="55" t="s">
        <v>199</v>
      </c>
    </row>
    <row r="123" spans="1:10" ht="20.100000000000001" customHeight="1">
      <c r="A123" s="55" t="s">
        <v>200</v>
      </c>
      <c r="H123" s="55" t="s">
        <v>200</v>
      </c>
    </row>
    <row r="124" spans="1:10" ht="20.100000000000001" customHeight="1">
      <c r="A124" s="55" t="s">
        <v>201</v>
      </c>
      <c r="H124" s="55" t="s">
        <v>201</v>
      </c>
    </row>
    <row r="125" spans="1:10" ht="20.100000000000001" customHeight="1">
      <c r="A125" s="55" t="s">
        <v>202</v>
      </c>
      <c r="H125" s="55" t="s">
        <v>202</v>
      </c>
    </row>
    <row r="126" spans="1:10" ht="20.100000000000001" customHeight="1">
      <c r="A126" s="55" t="s">
        <v>203</v>
      </c>
      <c r="H126" s="55" t="s">
        <v>204</v>
      </c>
    </row>
    <row r="127" spans="1:10" ht="20.100000000000001" customHeight="1">
      <c r="A127" s="55" t="s">
        <v>205</v>
      </c>
      <c r="H127" s="55" t="s">
        <v>205</v>
      </c>
    </row>
    <row r="128" spans="1:10" ht="20.100000000000001" customHeight="1">
      <c r="A128" s="55" t="s">
        <v>206</v>
      </c>
      <c r="H128" s="55" t="s">
        <v>206</v>
      </c>
    </row>
    <row r="129" spans="1:10" ht="20.100000000000001" customHeight="1">
      <c r="A129" s="55" t="s">
        <v>207</v>
      </c>
    </row>
    <row r="130" spans="1:10" ht="20.100000000000001" customHeight="1">
      <c r="A130" s="55" t="s">
        <v>108</v>
      </c>
      <c r="H130" s="55" t="s">
        <v>208</v>
      </c>
    </row>
    <row r="131" spans="1:10" ht="20.100000000000001" customHeight="1">
      <c r="A131" s="55" t="s">
        <v>209</v>
      </c>
      <c r="H131" s="55" t="s">
        <v>209</v>
      </c>
    </row>
    <row r="133" spans="1:10" ht="20.100000000000001" customHeight="1">
      <c r="A133" s="55" t="s">
        <v>210</v>
      </c>
      <c r="H133" s="55" t="s">
        <v>211</v>
      </c>
    </row>
    <row r="134" spans="1:10" ht="20.100000000000001" customHeight="1">
      <c r="A134" s="55" t="s">
        <v>212</v>
      </c>
      <c r="H134" s="55" t="s">
        <v>213</v>
      </c>
    </row>
    <row r="135" spans="1:10" ht="20.100000000000001" customHeight="1">
      <c r="A135" s="55" t="s">
        <v>214</v>
      </c>
      <c r="H135" s="55" t="s">
        <v>215</v>
      </c>
    </row>
    <row r="136" spans="1:10" ht="20.100000000000001" customHeight="1">
      <c r="A136" s="55" t="s">
        <v>216</v>
      </c>
      <c r="H136" s="55" t="s">
        <v>217</v>
      </c>
      <c r="J136" s="55">
        <v>6</v>
      </c>
    </row>
    <row r="137" spans="1:10" ht="20.100000000000001" customHeight="1">
      <c r="A137" s="55" t="s">
        <v>218</v>
      </c>
    </row>
    <row r="138" spans="1:10" ht="20.100000000000001" customHeight="1">
      <c r="A138" s="55" t="s">
        <v>215</v>
      </c>
    </row>
    <row r="139" spans="1:10" ht="20.100000000000001" customHeight="1">
      <c r="A139" s="55" t="s">
        <v>207</v>
      </c>
    </row>
    <row r="141" spans="1:10" ht="20.100000000000001" customHeight="1">
      <c r="A141" s="55" t="s">
        <v>219</v>
      </c>
    </row>
    <row r="142" spans="1:10" ht="20.100000000000001" customHeight="1">
      <c r="A142" s="55" t="s">
        <v>220</v>
      </c>
    </row>
    <row r="143" spans="1:10" ht="20.100000000000001" customHeight="1">
      <c r="A143" s="55" t="s">
        <v>221</v>
      </c>
      <c r="H143" s="55" t="s">
        <v>222</v>
      </c>
    </row>
    <row r="144" spans="1:10" ht="20.100000000000001" customHeight="1">
      <c r="A144" s="55" t="s">
        <v>223</v>
      </c>
    </row>
    <row r="145" spans="1:10" ht="20.100000000000001" customHeight="1">
      <c r="A145" s="55" t="s">
        <v>224</v>
      </c>
    </row>
    <row r="146" spans="1:10" ht="20.100000000000001" customHeight="1">
      <c r="A146" s="55" t="s">
        <v>225</v>
      </c>
    </row>
    <row r="147" spans="1:10" ht="20.100000000000001" customHeight="1">
      <c r="A147" s="55" t="s">
        <v>207</v>
      </c>
    </row>
    <row r="149" spans="1:10" ht="20.100000000000001" customHeight="1">
      <c r="A149" s="55" t="s">
        <v>226</v>
      </c>
      <c r="H149" s="55" t="s">
        <v>226</v>
      </c>
    </row>
    <row r="151" spans="1:10" ht="20.100000000000001" customHeight="1">
      <c r="A151" s="55" t="s">
        <v>227</v>
      </c>
      <c r="H151" s="55" t="s">
        <v>227</v>
      </c>
    </row>
    <row r="152" spans="1:10" ht="20.100000000000001" customHeight="1">
      <c r="A152" s="55" t="s">
        <v>228</v>
      </c>
      <c r="H152" s="55" t="s">
        <v>229</v>
      </c>
    </row>
    <row r="154" spans="1:10" ht="20.100000000000001" customHeight="1">
      <c r="A154" s="55" t="s">
        <v>108</v>
      </c>
      <c r="H154" s="55" t="s">
        <v>78</v>
      </c>
    </row>
    <row r="155" spans="1:10" ht="20.100000000000001" customHeight="1">
      <c r="A155" s="55" t="s">
        <v>108</v>
      </c>
      <c r="H155" s="55" t="s">
        <v>161</v>
      </c>
      <c r="J155" s="55">
        <v>6</v>
      </c>
    </row>
    <row r="156" spans="1:10" ht="20.100000000000001" customHeight="1">
      <c r="A156" s="55" t="s">
        <v>108</v>
      </c>
      <c r="H156" s="55" t="s">
        <v>230</v>
      </c>
    </row>
    <row r="157" spans="1:10" ht="20.100000000000001" customHeight="1">
      <c r="A157" s="55" t="s">
        <v>108</v>
      </c>
      <c r="H157" s="55" t="s">
        <v>231</v>
      </c>
    </row>
    <row r="158" spans="1:10" ht="20.100000000000001" customHeight="1">
      <c r="A158" s="55" t="s">
        <v>108</v>
      </c>
      <c r="H158" s="55" t="s">
        <v>232</v>
      </c>
      <c r="J158" s="55">
        <v>6</v>
      </c>
    </row>
    <row r="159" spans="1:10" ht="20.100000000000001" customHeight="1">
      <c r="A159" s="55" t="s">
        <v>108</v>
      </c>
      <c r="H159" s="55" t="s">
        <v>233</v>
      </c>
    </row>
    <row r="161" spans="8:8" ht="20.100000000000001" customHeight="1">
      <c r="H161" s="55" t="s">
        <v>234</v>
      </c>
    </row>
  </sheetData>
  <autoFilter ref="A5:K5" xr:uid="{00000000-0009-0000-0000-000009000000}"/>
  <mergeCells count="3">
    <mergeCell ref="A4:C4"/>
    <mergeCell ref="G4:I4"/>
    <mergeCell ref="A1:I1"/>
  </mergeCells>
  <phoneticPr fontId="9" type="noConversion"/>
  <pageMargins left="0.70866141732283472" right="0.70866141732283472" top="0.74803149606299213" bottom="0.74803149606299213" header="0.31496062992125984" footer="0.31496062992125984"/>
  <pageSetup paperSize="9" scale="61" orientation="portrait" r:id="rId1"/>
  <rowBreaks count="1" manualBreakCount="1">
    <brk id="55"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15</vt:i4>
      </vt:variant>
      <vt:variant>
        <vt:lpstr>具名範圍</vt:lpstr>
      </vt:variant>
      <vt:variant>
        <vt:i4>10</vt:i4>
      </vt:variant>
    </vt:vector>
  </HeadingPairs>
  <TitlesOfParts>
    <vt:vector size="25" baseType="lpstr">
      <vt:lpstr>資產負債表</vt:lpstr>
      <vt:lpstr>損益表</vt:lpstr>
      <vt:lpstr>股東變動表</vt:lpstr>
      <vt:lpstr>現金流量表</vt:lpstr>
      <vt:lpstr>調節表 </vt:lpstr>
      <vt:lpstr>附註</vt:lpstr>
      <vt:lpstr>附註用人費用</vt:lpstr>
      <vt:lpstr>附註不動產</vt:lpstr>
      <vt:lpstr>TB</vt:lpstr>
      <vt:lpstr>BS</vt:lpstr>
      <vt:lpstr>IS</vt:lpstr>
      <vt:lpstr>VI-2資產</vt:lpstr>
      <vt:lpstr>VI-2負債及權益</vt:lpstr>
      <vt:lpstr>104</vt:lpstr>
      <vt:lpstr>首次企業項目差異</vt:lpstr>
      <vt:lpstr>附註!_Hlk138872368</vt:lpstr>
      <vt:lpstr>'104'!Print_Area</vt:lpstr>
      <vt:lpstr>'VI-2負債及權益'!Print_Area</vt:lpstr>
      <vt:lpstr>'VI-2資產'!Print_Area</vt:lpstr>
      <vt:lpstr>股東變動表!Print_Area</vt:lpstr>
      <vt:lpstr>現金流量表!Print_Area</vt:lpstr>
      <vt:lpstr>資產負債表!Print_Area</vt:lpstr>
      <vt:lpstr>'VI-2負債及權益'!Print_Titles</vt:lpstr>
      <vt:lpstr>'VI-2資產'!Print_Titles</vt:lpstr>
      <vt:lpstr>首次企業項目差異!Print_Titles</vt:lpstr>
    </vt:vector>
  </TitlesOfParts>
  <Company>萬泰聯合會計事務所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萬泰聯合會計事務所</dc:creator>
  <cp:lastModifiedBy>智鴻 陳</cp:lastModifiedBy>
  <cp:lastPrinted>2025-03-18T07:26:41Z</cp:lastPrinted>
  <dcterms:created xsi:type="dcterms:W3CDTF">2000-11-06T02:49:59Z</dcterms:created>
  <dcterms:modified xsi:type="dcterms:W3CDTF">2025-03-27T01:35:56Z</dcterms:modified>
</cp:coreProperties>
</file>